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21660" windowHeight="11295" activeTab="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N24" i="2"/>
  <c r="D30" i="3"/>
  <c r="E28" i="2"/>
  <c r="D35" i="1"/>
</calcChain>
</file>

<file path=xl/sharedStrings.xml><?xml version="1.0" encoding="utf-8"?>
<sst xmlns="http://schemas.openxmlformats.org/spreadsheetml/2006/main" count="188" uniqueCount="86">
  <si>
    <t>S. No.</t>
  </si>
  <si>
    <t>Light Intensity</t>
  </si>
  <si>
    <t>Temp (°C)</t>
  </si>
  <si>
    <t>PIR</t>
  </si>
  <si>
    <t>Air Quality</t>
  </si>
  <si>
    <t>Fuzzy Output</t>
  </si>
  <si>
    <t>Curtain Angle (°)</t>
  </si>
  <si>
    <t>Light Utilization (%)</t>
  </si>
  <si>
    <t>–</t>
  </si>
  <si>
    <t>75 (Closed)</t>
  </si>
  <si>
    <t>45 (Partial)</t>
  </si>
  <si>
    <t>15 (Partial)</t>
  </si>
  <si>
    <t>-</t>
  </si>
  <si>
    <t>Input Light Intensity</t>
  </si>
  <si>
    <t>Input.Air Qty</t>
  </si>
  <si>
    <t>Input PIR val</t>
  </si>
  <si>
    <t>Light System Utilization (%)</t>
  </si>
  <si>
    <t>10:52am</t>
  </si>
  <si>
    <t>10:53am</t>
  </si>
  <si>
    <t>10:54am</t>
  </si>
  <si>
    <t>10:55am</t>
  </si>
  <si>
    <t>10:59am</t>
  </si>
  <si>
    <t>11:00am</t>
  </si>
  <si>
    <t>11:03am</t>
  </si>
  <si>
    <t>11:07am</t>
  </si>
  <si>
    <t>11:11am</t>
  </si>
  <si>
    <t>11:14am</t>
  </si>
  <si>
    <t>11:18am</t>
  </si>
  <si>
    <t>11:22am</t>
  </si>
  <si>
    <t>11:26am</t>
  </si>
  <si>
    <t>11:30am</t>
  </si>
  <si>
    <t>11:33am</t>
  </si>
  <si>
    <t>11:37am</t>
  </si>
  <si>
    <t>S.No</t>
  </si>
  <si>
    <t>Time</t>
  </si>
  <si>
    <t>02:06pm</t>
  </si>
  <si>
    <t>02:07pm</t>
  </si>
  <si>
    <t>02:08pm</t>
  </si>
  <si>
    <t>02:10pm</t>
  </si>
  <si>
    <t>02:12pm</t>
  </si>
  <si>
    <t>02:03pm</t>
  </si>
  <si>
    <t>Fuzzy Light Intensity</t>
  </si>
  <si>
    <t>Fuzzy Light Intensity Output</t>
  </si>
  <si>
    <t>75closed</t>
  </si>
  <si>
    <t>45partial</t>
  </si>
  <si>
    <t>15partial</t>
  </si>
  <si>
    <t>0 open</t>
  </si>
  <si>
    <t xml:space="preserve">              –</t>
  </si>
  <si>
    <t xml:space="preserve">               –</t>
  </si>
  <si>
    <t xml:space="preserve">     –</t>
  </si>
  <si>
    <t xml:space="preserve">Input Temprature </t>
  </si>
  <si>
    <t>65partial</t>
  </si>
  <si>
    <t>02:04pm</t>
  </si>
  <si>
    <t>02:11pm</t>
  </si>
  <si>
    <t>02:13pm</t>
  </si>
  <si>
    <t>02:14pm</t>
  </si>
  <si>
    <t xml:space="preserve"> </t>
  </si>
  <si>
    <t>05:09pm</t>
  </si>
  <si>
    <t>05:10pm</t>
  </si>
  <si>
    <t>05:11pm</t>
  </si>
  <si>
    <t>05:13pm</t>
  </si>
  <si>
    <t>05:20pm</t>
  </si>
  <si>
    <t>05:18pm</t>
  </si>
  <si>
    <t>05:17pm</t>
  </si>
  <si>
    <t>05:16pm</t>
  </si>
  <si>
    <t>05:14pm</t>
  </si>
  <si>
    <t>65 (Partial)</t>
  </si>
  <si>
    <t>25 (Partial)</t>
  </si>
  <si>
    <t>35 (Partial)</t>
  </si>
  <si>
    <t>30 (Partial)</t>
  </si>
  <si>
    <t>11:02am</t>
  </si>
  <si>
    <t>10:56am</t>
  </si>
  <si>
    <t>10:57am</t>
  </si>
  <si>
    <t>10:58am</t>
  </si>
  <si>
    <t>11:01am</t>
  </si>
  <si>
    <t>02:05pm</t>
  </si>
  <si>
    <t>02:09pm</t>
  </si>
  <si>
    <t>Previous Value</t>
  </si>
  <si>
    <t>Available</t>
  </si>
  <si>
    <t>Avg(100+90+75)</t>
  </si>
  <si>
    <t>previous</t>
  </si>
  <si>
    <t>Present</t>
  </si>
  <si>
    <t>05:12pm</t>
  </si>
  <si>
    <t>05:15pm</t>
  </si>
  <si>
    <t>Total</t>
  </si>
  <si>
    <t>Avg. (90, 75, 60)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</si>
</sst>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6" fillId="2" borderId="9" applyNumberFormat="0" applyAlignment="0" applyProtection="0"/>
  </cellStyleXfs>
  <cellXfs count="39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6" xfId="0" applyFont="1" applyBorder="1" applyAlignment="1">
      <alignment horizontal="right" wrapText="1"/>
    </xf>
    <xf numFmtId="0" fontId="1" fillId="0" borderId="6" xfId="0" applyFont="1" applyBorder="1" applyAlignment="1">
      <alignment horizontal="right"/>
    </xf>
    <xf numFmtId="9" fontId="0" fillId="0" borderId="0" xfId="0" applyNumberFormat="1" applyAlignment="1">
      <alignment horizontal="right"/>
    </xf>
    <xf numFmtId="0" fontId="2" fillId="0" borderId="7" xfId="0" applyFont="1" applyFill="1" applyBorder="1" applyAlignment="1">
      <alignment horizontal="center" vertical="top" wrapText="1"/>
    </xf>
    <xf numFmtId="0" fontId="0" fillId="0" borderId="8" xfId="0" applyBorder="1"/>
    <xf numFmtId="0" fontId="0" fillId="0" borderId="0" xfId="0" applyBorder="1"/>
    <xf numFmtId="0" fontId="4" fillId="0" borderId="6" xfId="0" applyFont="1" applyBorder="1" applyAlignment="1">
      <alignment horizontal="center" wrapText="1"/>
    </xf>
    <xf numFmtId="0" fontId="1" fillId="0" borderId="6" xfId="0" applyFont="1" applyBorder="1" applyAlignment="1"/>
    <xf numFmtId="20" fontId="1" fillId="0" borderId="6" xfId="0" applyNumberFormat="1" applyFont="1" applyBorder="1" applyAlignment="1">
      <alignment horizontal="right" wrapText="1"/>
    </xf>
    <xf numFmtId="0" fontId="1" fillId="0" borderId="0" xfId="0" applyFont="1" applyBorder="1" applyAlignment="1">
      <alignment horizontal="right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4" fillId="0" borderId="6" xfId="0" applyFont="1" applyBorder="1" applyAlignment="1">
      <alignment horizontal="right" wrapText="1"/>
    </xf>
    <xf numFmtId="0" fontId="5" fillId="0" borderId="5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6" fillId="2" borderId="9" xfId="1"/>
    <xf numFmtId="0" fontId="6" fillId="2" borderId="9" xfId="1" applyAlignment="1">
      <alignment horizontal="right" wrapText="1"/>
    </xf>
    <xf numFmtId="20" fontId="6" fillId="2" borderId="9" xfId="1" applyNumberFormat="1" applyAlignment="1">
      <alignment horizontal="right" wrapText="1"/>
    </xf>
    <xf numFmtId="0" fontId="6" fillId="2" borderId="9" xfId="1" applyAlignment="1">
      <alignment horizontal="right"/>
    </xf>
    <xf numFmtId="0" fontId="6" fillId="2" borderId="9" xfId="1" applyAlignment="1">
      <alignment horizontal="center" vertical="center" wrapText="1"/>
    </xf>
    <xf numFmtId="0" fontId="6" fillId="2" borderId="9" xfId="1" applyAlignment="1">
      <alignment horizontal="center"/>
    </xf>
    <xf numFmtId="0" fontId="7" fillId="2" borderId="9" xfId="1" applyFont="1"/>
    <xf numFmtId="0" fontId="7" fillId="2" borderId="9" xfId="1" applyFont="1" applyAlignment="1">
      <alignment horizontal="right" wrapText="1"/>
    </xf>
    <xf numFmtId="20" fontId="7" fillId="2" borderId="9" xfId="1" applyNumberFormat="1" applyFont="1" applyAlignment="1">
      <alignment horizontal="right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opLeftCell="B1" zoomScale="85" zoomScaleNormal="85" workbookViewId="0">
      <selection activeCell="H32" sqref="H32"/>
    </sheetView>
  </sheetViews>
  <sheetFormatPr defaultRowHeight="15"/>
  <cols>
    <col min="1" max="2" width="13" customWidth="1"/>
    <col min="3" max="3" width="23.140625" customWidth="1"/>
    <col min="4" max="4" width="14.42578125" customWidth="1"/>
    <col min="5" max="5" width="13.140625" customWidth="1"/>
    <col min="6" max="7" width="16.7109375" customWidth="1"/>
    <col min="8" max="8" width="21.28515625" customWidth="1"/>
    <col min="9" max="9" width="21" customWidth="1"/>
    <col min="10" max="10" width="27.85546875" customWidth="1"/>
  </cols>
  <sheetData>
    <row r="1" spans="1:12" ht="15" customHeight="1">
      <c r="A1" s="34" t="s">
        <v>33</v>
      </c>
      <c r="B1" s="34" t="s">
        <v>34</v>
      </c>
      <c r="C1" s="34" t="s">
        <v>13</v>
      </c>
      <c r="D1" s="34" t="s">
        <v>50</v>
      </c>
      <c r="E1" s="34" t="s">
        <v>14</v>
      </c>
      <c r="F1" s="34" t="s">
        <v>15</v>
      </c>
      <c r="G1" s="34" t="s">
        <v>6</v>
      </c>
      <c r="H1" s="34" t="s">
        <v>42</v>
      </c>
      <c r="I1" s="34" t="s">
        <v>16</v>
      </c>
    </row>
    <row r="2" spans="1:12" ht="15" customHeight="1">
      <c r="A2" s="35"/>
      <c r="B2" s="35"/>
      <c r="C2" s="35"/>
      <c r="D2" s="35"/>
      <c r="E2" s="35"/>
      <c r="F2" s="35"/>
      <c r="G2" s="37"/>
      <c r="H2" s="35"/>
      <c r="I2" s="35"/>
    </row>
    <row r="3" spans="1:12" ht="15.75" customHeight="1" thickBot="1">
      <c r="A3" s="36"/>
      <c r="B3" s="36"/>
      <c r="C3" s="36"/>
      <c r="D3" s="36"/>
      <c r="E3" s="36"/>
      <c r="F3" s="36"/>
      <c r="G3" s="38"/>
      <c r="H3" s="36"/>
      <c r="I3" s="36"/>
    </row>
    <row r="4" spans="1:12" ht="15.75" thickBot="1">
      <c r="A4" s="14">
        <v>1</v>
      </c>
      <c r="B4" s="15" t="s">
        <v>17</v>
      </c>
      <c r="C4" s="16">
        <v>9.2799999999999994</v>
      </c>
      <c r="D4" s="16">
        <v>20.9</v>
      </c>
      <c r="E4" s="16">
        <v>201</v>
      </c>
      <c r="F4" s="16">
        <v>0</v>
      </c>
      <c r="G4" s="17" t="s">
        <v>43</v>
      </c>
      <c r="H4" s="18" t="s">
        <v>12</v>
      </c>
      <c r="I4" s="18" t="s">
        <v>12</v>
      </c>
    </row>
    <row r="5" spans="1:12" ht="15.75" thickBot="1">
      <c r="A5" s="14">
        <v>2</v>
      </c>
      <c r="B5" s="17" t="s">
        <v>18</v>
      </c>
      <c r="C5" s="16">
        <v>8.89</v>
      </c>
      <c r="D5" s="16">
        <v>27.72</v>
      </c>
      <c r="E5" s="16">
        <v>220</v>
      </c>
      <c r="F5" s="16">
        <v>0</v>
      </c>
      <c r="G5" s="17" t="s">
        <v>43</v>
      </c>
      <c r="H5" s="18" t="s">
        <v>12</v>
      </c>
      <c r="I5" s="18" t="s">
        <v>12</v>
      </c>
    </row>
    <row r="6" spans="1:12" ht="15.75" thickBot="1">
      <c r="A6" s="14">
        <v>3</v>
      </c>
      <c r="B6" s="17" t="s">
        <v>19</v>
      </c>
      <c r="C6" s="16">
        <v>40.53</v>
      </c>
      <c r="D6" s="16">
        <v>23.33</v>
      </c>
      <c r="E6" s="16">
        <v>195</v>
      </c>
      <c r="F6" s="16">
        <v>1</v>
      </c>
      <c r="G6" s="17" t="s">
        <v>44</v>
      </c>
      <c r="H6" s="18">
        <v>33.32</v>
      </c>
      <c r="I6" s="22">
        <v>100</v>
      </c>
      <c r="J6" s="8"/>
      <c r="K6" s="9"/>
      <c r="L6" s="9"/>
    </row>
    <row r="7" spans="1:12" ht="15.75" thickBot="1">
      <c r="A7" s="14">
        <v>4</v>
      </c>
      <c r="B7" s="17" t="s">
        <v>20</v>
      </c>
      <c r="C7" s="16">
        <v>41.1</v>
      </c>
      <c r="D7" s="16">
        <v>20.7</v>
      </c>
      <c r="E7" s="16">
        <v>215</v>
      </c>
      <c r="F7" s="16">
        <v>1</v>
      </c>
      <c r="G7" s="17" t="s">
        <v>45</v>
      </c>
      <c r="H7" s="18">
        <v>41.32</v>
      </c>
      <c r="I7" s="23">
        <v>90</v>
      </c>
      <c r="J7" s="8"/>
    </row>
    <row r="8" spans="1:12" ht="15.75" thickBot="1">
      <c r="A8" s="14">
        <v>5</v>
      </c>
      <c r="B8" s="17" t="s">
        <v>20</v>
      </c>
      <c r="C8" s="16">
        <v>44.54</v>
      </c>
      <c r="D8" s="16">
        <v>20.57</v>
      </c>
      <c r="E8" s="16">
        <v>201</v>
      </c>
      <c r="F8" s="16">
        <v>1</v>
      </c>
      <c r="G8" s="17" t="s">
        <v>45</v>
      </c>
      <c r="H8" s="18">
        <v>42</v>
      </c>
      <c r="I8" s="23">
        <v>75</v>
      </c>
      <c r="J8" s="8"/>
    </row>
    <row r="9" spans="1:12" ht="15.75" thickBot="1">
      <c r="A9" s="14">
        <v>6</v>
      </c>
      <c r="B9" s="17" t="s">
        <v>20</v>
      </c>
      <c r="C9" s="16">
        <v>41.54</v>
      </c>
      <c r="D9" s="16">
        <v>25.74</v>
      </c>
      <c r="E9" s="16">
        <v>196</v>
      </c>
      <c r="F9" s="16">
        <v>1</v>
      </c>
      <c r="G9" s="17" t="s">
        <v>46</v>
      </c>
      <c r="H9" s="18">
        <v>41.25</v>
      </c>
      <c r="I9" s="23">
        <v>60</v>
      </c>
      <c r="J9" s="8"/>
    </row>
    <row r="10" spans="1:12" ht="15.75" thickBot="1">
      <c r="A10" s="14">
        <v>7</v>
      </c>
      <c r="B10" s="17" t="s">
        <v>21</v>
      </c>
      <c r="C10" s="16">
        <v>39.729999999999997</v>
      </c>
      <c r="D10" s="16">
        <v>19.5</v>
      </c>
      <c r="E10" s="16">
        <v>220</v>
      </c>
      <c r="F10" s="16">
        <v>1</v>
      </c>
      <c r="G10" s="17" t="s">
        <v>46</v>
      </c>
      <c r="H10" s="18">
        <v>42.3</v>
      </c>
      <c r="I10" s="23">
        <v>50</v>
      </c>
      <c r="J10" s="8"/>
    </row>
    <row r="11" spans="1:12" ht="15.75" thickBot="1">
      <c r="A11" s="14">
        <v>8</v>
      </c>
      <c r="B11" s="17" t="s">
        <v>22</v>
      </c>
      <c r="C11" s="16">
        <v>42.36</v>
      </c>
      <c r="D11" s="16">
        <v>19.45</v>
      </c>
      <c r="E11" s="16">
        <v>223</v>
      </c>
      <c r="F11" s="16">
        <v>1</v>
      </c>
      <c r="G11" s="17" t="s">
        <v>46</v>
      </c>
      <c r="H11" s="18">
        <v>38.200000000000003</v>
      </c>
      <c r="I11" s="23">
        <v>45</v>
      </c>
      <c r="J11" s="8"/>
    </row>
    <row r="12" spans="1:12" ht="15.75" thickBot="1">
      <c r="A12" s="14">
        <v>9</v>
      </c>
      <c r="B12" s="17" t="s">
        <v>70</v>
      </c>
      <c r="C12" s="16">
        <v>39.19</v>
      </c>
      <c r="D12" s="16">
        <v>21.96</v>
      </c>
      <c r="E12" s="16">
        <v>225</v>
      </c>
      <c r="F12" s="16">
        <v>1</v>
      </c>
      <c r="G12" s="17" t="s">
        <v>45</v>
      </c>
      <c r="H12" s="18">
        <v>41.3</v>
      </c>
      <c r="I12" s="23">
        <v>50</v>
      </c>
      <c r="J12" s="8"/>
    </row>
    <row r="13" spans="1:12" ht="15.75" thickBot="1">
      <c r="A13" s="14">
        <v>10</v>
      </c>
      <c r="B13" s="17" t="s">
        <v>23</v>
      </c>
      <c r="C13" s="16">
        <v>34.06</v>
      </c>
      <c r="D13" s="16">
        <v>20.85</v>
      </c>
      <c r="E13" s="16">
        <v>242</v>
      </c>
      <c r="F13" s="16">
        <v>0</v>
      </c>
      <c r="G13" s="17" t="s">
        <v>12</v>
      </c>
      <c r="H13" s="18" t="s">
        <v>12</v>
      </c>
      <c r="I13" s="18" t="s">
        <v>12</v>
      </c>
      <c r="J13" s="8"/>
    </row>
    <row r="14" spans="1:12" ht="15.75" thickBot="1">
      <c r="A14" s="14">
        <v>11</v>
      </c>
      <c r="B14" s="17" t="s">
        <v>24</v>
      </c>
      <c r="C14" s="16">
        <v>19.88</v>
      </c>
      <c r="D14" s="16">
        <v>20.2</v>
      </c>
      <c r="E14" s="16">
        <v>222</v>
      </c>
      <c r="F14" s="16">
        <v>0</v>
      </c>
      <c r="G14" s="17" t="s">
        <v>12</v>
      </c>
      <c r="H14" s="18" t="s">
        <v>12</v>
      </c>
      <c r="I14" s="18" t="s">
        <v>12</v>
      </c>
      <c r="J14" s="8"/>
    </row>
    <row r="15" spans="1:12" ht="15.75" thickBot="1">
      <c r="A15" s="14">
        <v>12</v>
      </c>
      <c r="B15" s="17" t="s">
        <v>25</v>
      </c>
      <c r="C15" s="16">
        <v>10.38</v>
      </c>
      <c r="D15" s="16">
        <v>20.36</v>
      </c>
      <c r="E15" s="16">
        <v>225</v>
      </c>
      <c r="F15" s="16">
        <v>0</v>
      </c>
      <c r="G15" s="17" t="s">
        <v>12</v>
      </c>
      <c r="H15" s="18" t="s">
        <v>12</v>
      </c>
      <c r="I15" s="18" t="s">
        <v>12</v>
      </c>
      <c r="J15" s="8"/>
    </row>
    <row r="16" spans="1:12" ht="15.75" thickBot="1">
      <c r="A16" s="14">
        <v>13</v>
      </c>
      <c r="B16" s="17" t="s">
        <v>26</v>
      </c>
      <c r="C16" s="16">
        <v>11.01</v>
      </c>
      <c r="D16" s="16">
        <v>20.96</v>
      </c>
      <c r="E16" s="16">
        <v>190</v>
      </c>
      <c r="F16" s="16">
        <v>0</v>
      </c>
      <c r="G16" s="17" t="s">
        <v>12</v>
      </c>
      <c r="H16" s="18" t="s">
        <v>12</v>
      </c>
      <c r="I16" s="18" t="s">
        <v>12</v>
      </c>
      <c r="J16" s="8"/>
    </row>
    <row r="17" spans="1:10" ht="15.75" thickBot="1">
      <c r="A17" s="14">
        <v>14</v>
      </c>
      <c r="B17" s="17" t="s">
        <v>27</v>
      </c>
      <c r="C17" s="16">
        <v>12.6</v>
      </c>
      <c r="D17" s="16">
        <v>21.75</v>
      </c>
      <c r="E17" s="16">
        <v>198</v>
      </c>
      <c r="F17" s="16">
        <v>0</v>
      </c>
      <c r="G17" s="17" t="s">
        <v>12</v>
      </c>
      <c r="H17" s="18" t="s">
        <v>12</v>
      </c>
      <c r="I17" s="18" t="s">
        <v>12</v>
      </c>
      <c r="J17" s="8"/>
    </row>
    <row r="18" spans="1:10" ht="15.75" thickBot="1">
      <c r="A18" s="14">
        <v>15</v>
      </c>
      <c r="B18" s="17" t="s">
        <v>28</v>
      </c>
      <c r="C18" s="16">
        <v>14.6</v>
      </c>
      <c r="D18" s="16">
        <v>22.9</v>
      </c>
      <c r="E18" s="16">
        <v>200</v>
      </c>
      <c r="F18" s="16">
        <v>0</v>
      </c>
      <c r="G18" s="17" t="s">
        <v>12</v>
      </c>
      <c r="H18" s="18" t="s">
        <v>12</v>
      </c>
      <c r="I18" s="18" t="s">
        <v>12</v>
      </c>
    </row>
    <row r="19" spans="1:10" ht="15.75" thickBot="1">
      <c r="A19" s="14">
        <v>16</v>
      </c>
      <c r="B19" s="17" t="s">
        <v>29</v>
      </c>
      <c r="C19" s="16">
        <v>15.79</v>
      </c>
      <c r="D19" s="16">
        <v>20.38</v>
      </c>
      <c r="E19" s="16">
        <v>211</v>
      </c>
      <c r="F19" s="16">
        <v>0</v>
      </c>
      <c r="G19" s="17" t="s">
        <v>12</v>
      </c>
      <c r="H19" s="18" t="s">
        <v>12</v>
      </c>
      <c r="I19" s="18" t="s">
        <v>12</v>
      </c>
    </row>
    <row r="20" spans="1:10" ht="15.75" thickBot="1">
      <c r="A20" s="14">
        <v>17</v>
      </c>
      <c r="B20" s="17" t="s">
        <v>30</v>
      </c>
      <c r="C20" s="16">
        <v>11.93</v>
      </c>
      <c r="D20" s="16">
        <v>21.57</v>
      </c>
      <c r="E20" s="16">
        <v>219</v>
      </c>
      <c r="F20" s="16">
        <v>0</v>
      </c>
      <c r="G20" s="17" t="s">
        <v>12</v>
      </c>
      <c r="H20" s="18" t="s">
        <v>12</v>
      </c>
      <c r="I20" s="18" t="s">
        <v>12</v>
      </c>
    </row>
    <row r="21" spans="1:10" ht="15.75" thickBot="1">
      <c r="A21" s="14">
        <v>18</v>
      </c>
      <c r="B21" s="17" t="s">
        <v>31</v>
      </c>
      <c r="C21" s="16">
        <v>12.38</v>
      </c>
      <c r="D21" s="16">
        <v>20.81</v>
      </c>
      <c r="E21" s="16">
        <v>198</v>
      </c>
      <c r="F21" s="16">
        <v>0</v>
      </c>
      <c r="G21" s="17" t="s">
        <v>12</v>
      </c>
      <c r="H21" s="18" t="s">
        <v>12</v>
      </c>
      <c r="I21" s="18" t="s">
        <v>12</v>
      </c>
    </row>
    <row r="22" spans="1:10" ht="15.75" thickBot="1">
      <c r="A22" s="14">
        <v>19</v>
      </c>
      <c r="B22" s="24" t="s">
        <v>32</v>
      </c>
      <c r="C22" s="16">
        <v>11.79</v>
      </c>
      <c r="D22" s="16">
        <v>21.95</v>
      </c>
      <c r="E22" s="16">
        <v>198</v>
      </c>
      <c r="F22" s="16">
        <v>0</v>
      </c>
      <c r="G22" s="17" t="s">
        <v>12</v>
      </c>
      <c r="H22" s="18" t="s">
        <v>12</v>
      </c>
      <c r="I22" s="18" t="s">
        <v>12</v>
      </c>
    </row>
    <row r="23" spans="1:10">
      <c r="I23" s="7"/>
    </row>
    <row r="25" spans="1:10" ht="15.75" thickBot="1">
      <c r="I25" t="s">
        <v>56</v>
      </c>
    </row>
    <row r="26" spans="1:10" ht="16.5" thickTop="1" thickBot="1">
      <c r="A26" s="25">
        <v>1</v>
      </c>
      <c r="B26" s="29" t="s">
        <v>19</v>
      </c>
      <c r="C26" s="30" t="s">
        <v>78</v>
      </c>
      <c r="D26" s="25">
        <v>100</v>
      </c>
    </row>
    <row r="27" spans="1:10" ht="16.5" thickTop="1" thickBot="1">
      <c r="A27" s="25">
        <v>2</v>
      </c>
      <c r="B27" s="29" t="s">
        <v>20</v>
      </c>
      <c r="C27" s="30" t="s">
        <v>85</v>
      </c>
      <c r="D27" s="25">
        <v>75</v>
      </c>
    </row>
    <row r="28" spans="1:10" ht="16.5" thickTop="1" thickBot="1">
      <c r="A28" s="25">
        <v>3</v>
      </c>
      <c r="B28" s="29" t="s">
        <v>71</v>
      </c>
      <c r="C28" s="30" t="s">
        <v>77</v>
      </c>
      <c r="D28" s="25">
        <v>60</v>
      </c>
    </row>
    <row r="29" spans="1:10" ht="16.5" thickTop="1" thickBot="1">
      <c r="A29" s="25">
        <v>4</v>
      </c>
      <c r="B29" s="29" t="s">
        <v>72</v>
      </c>
      <c r="C29" s="30" t="s">
        <v>77</v>
      </c>
      <c r="D29" s="25">
        <v>60</v>
      </c>
    </row>
    <row r="30" spans="1:10" ht="16.5" thickTop="1" thickBot="1">
      <c r="A30" s="25">
        <v>5</v>
      </c>
      <c r="B30" s="29" t="s">
        <v>73</v>
      </c>
      <c r="C30" s="30" t="s">
        <v>77</v>
      </c>
      <c r="D30" s="25">
        <v>60</v>
      </c>
    </row>
    <row r="31" spans="1:10" ht="16.5" thickTop="1" thickBot="1">
      <c r="A31" s="25">
        <v>6</v>
      </c>
      <c r="B31" s="29" t="s">
        <v>21</v>
      </c>
      <c r="C31" s="30" t="s">
        <v>78</v>
      </c>
      <c r="D31" s="25">
        <v>50</v>
      </c>
    </row>
    <row r="32" spans="1:10" ht="16.5" thickTop="1" thickBot="1">
      <c r="A32" s="25">
        <v>7</v>
      </c>
      <c r="B32" s="29" t="s">
        <v>22</v>
      </c>
      <c r="C32" s="30" t="s">
        <v>78</v>
      </c>
      <c r="D32" s="25">
        <v>45</v>
      </c>
    </row>
    <row r="33" spans="1:4" ht="16.5" thickTop="1" thickBot="1">
      <c r="A33" s="25">
        <v>8</v>
      </c>
      <c r="B33" s="29" t="s">
        <v>74</v>
      </c>
      <c r="C33" s="30" t="s">
        <v>78</v>
      </c>
      <c r="D33" s="25">
        <v>45</v>
      </c>
    </row>
    <row r="34" spans="1:4" ht="16.5" thickTop="1" thickBot="1">
      <c r="A34" s="25">
        <v>9</v>
      </c>
      <c r="B34" s="29" t="s">
        <v>70</v>
      </c>
      <c r="C34" s="30" t="s">
        <v>78</v>
      </c>
      <c r="D34" s="25">
        <v>50</v>
      </c>
    </row>
    <row r="35" spans="1:4" ht="16.5" thickTop="1" thickBot="1">
      <c r="A35" s="25" t="s">
        <v>84</v>
      </c>
      <c r="B35" s="25"/>
      <c r="C35" s="25"/>
      <c r="D35" s="25">
        <f>SUM(D26:D34)/9</f>
        <v>60.555555555555557</v>
      </c>
    </row>
    <row r="36" spans="1:4" ht="16.5" thickTop="1" thickBot="1">
      <c r="A36" s="25"/>
      <c r="B36" s="25"/>
      <c r="C36" s="25"/>
      <c r="D36" s="25"/>
    </row>
    <row r="37" spans="1:4" ht="15.75" thickTop="1"/>
  </sheetData>
  <mergeCells count="9">
    <mergeCell ref="H1:H3"/>
    <mergeCell ref="I1:I3"/>
    <mergeCell ref="A1:A3"/>
    <mergeCell ref="B1:B3"/>
    <mergeCell ref="D1:D3"/>
    <mergeCell ref="G1:G3"/>
    <mergeCell ref="C1:C3"/>
    <mergeCell ref="E1:E3"/>
    <mergeCell ref="F1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1"/>
  <sheetViews>
    <sheetView zoomScale="85" zoomScaleNormal="85" workbookViewId="0">
      <selection activeCell="D19" sqref="D19"/>
    </sheetView>
  </sheetViews>
  <sheetFormatPr defaultRowHeight="15"/>
  <cols>
    <col min="1" max="2" width="14.85546875" customWidth="1"/>
    <col min="4" max="4" width="12.85546875" customWidth="1"/>
    <col min="5" max="5" width="14.5703125" customWidth="1"/>
    <col min="9" max="9" width="21.42578125" customWidth="1"/>
  </cols>
  <sheetData>
    <row r="1" spans="1:18" ht="63">
      <c r="A1" s="10" t="s">
        <v>0</v>
      </c>
      <c r="B1" s="10" t="s">
        <v>34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41</v>
      </c>
      <c r="H1" s="10" t="s">
        <v>6</v>
      </c>
      <c r="I1" s="10" t="s">
        <v>7</v>
      </c>
      <c r="J1" s="11"/>
    </row>
    <row r="2" spans="1:18" ht="31.5">
      <c r="A2" s="4">
        <v>1</v>
      </c>
      <c r="B2" s="4" t="s">
        <v>40</v>
      </c>
      <c r="C2" s="4">
        <v>15.6</v>
      </c>
      <c r="D2" s="4">
        <v>26.3</v>
      </c>
      <c r="E2" s="4">
        <v>0</v>
      </c>
      <c r="F2" s="4">
        <v>200</v>
      </c>
      <c r="G2" s="4" t="s">
        <v>47</v>
      </c>
      <c r="H2" s="4" t="s">
        <v>43</v>
      </c>
      <c r="I2" s="4" t="s">
        <v>8</v>
      </c>
      <c r="J2" s="5"/>
      <c r="L2" s="9"/>
      <c r="M2" s="9"/>
      <c r="N2" s="9"/>
      <c r="O2" s="9"/>
      <c r="P2" s="9"/>
      <c r="Q2" s="9"/>
      <c r="R2" s="9"/>
    </row>
    <row r="3" spans="1:18" ht="15.75">
      <c r="A3" s="4">
        <v>2</v>
      </c>
      <c r="B3" s="4" t="s">
        <v>52</v>
      </c>
      <c r="C3" s="4">
        <v>25.63</v>
      </c>
      <c r="D3" s="4">
        <v>25.1</v>
      </c>
      <c r="E3" s="4">
        <v>1</v>
      </c>
      <c r="F3" s="4">
        <v>205</v>
      </c>
      <c r="G3" s="4">
        <v>33.32</v>
      </c>
      <c r="H3" s="4" t="s">
        <v>43</v>
      </c>
      <c r="I3" s="4">
        <v>100</v>
      </c>
      <c r="J3" s="5"/>
      <c r="L3" s="9"/>
      <c r="M3" s="9"/>
      <c r="N3" s="9"/>
      <c r="O3" s="9"/>
      <c r="P3" s="9"/>
      <c r="Q3" s="9"/>
      <c r="R3" s="9"/>
    </row>
    <row r="4" spans="1:18" ht="15.75">
      <c r="A4" s="4">
        <v>3</v>
      </c>
      <c r="B4" s="4" t="s">
        <v>52</v>
      </c>
      <c r="C4" s="4">
        <v>39.85</v>
      </c>
      <c r="D4" s="4">
        <v>27.3</v>
      </c>
      <c r="E4" s="4">
        <v>1</v>
      </c>
      <c r="F4" s="4">
        <v>195</v>
      </c>
      <c r="G4" s="4">
        <v>41.32</v>
      </c>
      <c r="H4" s="4" t="s">
        <v>51</v>
      </c>
      <c r="I4" s="4">
        <v>90</v>
      </c>
      <c r="J4" s="5"/>
      <c r="L4" s="9"/>
      <c r="M4" s="9"/>
      <c r="N4" s="9"/>
      <c r="O4" s="9"/>
      <c r="P4" s="13"/>
      <c r="Q4" s="9"/>
      <c r="R4" s="9"/>
    </row>
    <row r="5" spans="1:18" ht="15.75">
      <c r="A5" s="4">
        <v>4</v>
      </c>
      <c r="B5" s="4" t="s">
        <v>52</v>
      </c>
      <c r="C5" s="4">
        <v>41.7</v>
      </c>
      <c r="D5" s="4">
        <v>26.5</v>
      </c>
      <c r="E5" s="4">
        <v>1</v>
      </c>
      <c r="F5" s="4">
        <v>198</v>
      </c>
      <c r="G5" s="4">
        <v>42</v>
      </c>
      <c r="H5" s="4" t="s">
        <v>44</v>
      </c>
      <c r="I5" s="4">
        <v>75</v>
      </c>
      <c r="J5" s="5"/>
      <c r="L5" s="9"/>
      <c r="M5" s="9"/>
      <c r="N5" s="9"/>
      <c r="O5" s="9"/>
      <c r="P5" s="13"/>
      <c r="Q5" s="9"/>
      <c r="R5" s="9"/>
    </row>
    <row r="6" spans="1:18" ht="15.75">
      <c r="A6" s="4">
        <v>5</v>
      </c>
      <c r="B6" s="4" t="s">
        <v>35</v>
      </c>
      <c r="C6" s="4">
        <v>44.1</v>
      </c>
      <c r="D6" s="4">
        <v>28.36</v>
      </c>
      <c r="E6" s="4">
        <v>1</v>
      </c>
      <c r="F6" s="4">
        <v>225</v>
      </c>
      <c r="G6" s="4">
        <v>41.25</v>
      </c>
      <c r="H6" s="4" t="s">
        <v>45</v>
      </c>
      <c r="I6" s="4">
        <v>60</v>
      </c>
      <c r="J6" s="5"/>
    </row>
    <row r="7" spans="1:18" ht="15.75">
      <c r="A7" s="4">
        <v>6</v>
      </c>
      <c r="B7" s="4" t="s">
        <v>37</v>
      </c>
      <c r="C7" s="4">
        <v>42.05</v>
      </c>
      <c r="D7" s="4">
        <v>27.29</v>
      </c>
      <c r="E7" s="4">
        <v>1</v>
      </c>
      <c r="F7" s="4">
        <v>228</v>
      </c>
      <c r="G7" s="4">
        <v>42.3</v>
      </c>
      <c r="H7" s="4" t="s">
        <v>46</v>
      </c>
      <c r="I7" s="4">
        <v>55</v>
      </c>
      <c r="J7" s="5"/>
    </row>
    <row r="8" spans="1:18" ht="15.75">
      <c r="A8" s="4">
        <v>7</v>
      </c>
      <c r="B8" s="4" t="s">
        <v>53</v>
      </c>
      <c r="C8" s="4">
        <v>40.200000000000003</v>
      </c>
      <c r="D8" s="4">
        <v>29.3</v>
      </c>
      <c r="E8" s="4">
        <v>1</v>
      </c>
      <c r="F8" s="4">
        <v>215</v>
      </c>
      <c r="G8" s="4">
        <v>39.200000000000003</v>
      </c>
      <c r="H8" s="4" t="s">
        <v>46</v>
      </c>
      <c r="I8" s="4">
        <v>55</v>
      </c>
      <c r="J8" s="5"/>
    </row>
    <row r="9" spans="1:18" ht="15.75">
      <c r="A9" s="4">
        <v>8</v>
      </c>
      <c r="B9" s="12" t="s">
        <v>39</v>
      </c>
      <c r="C9" s="4">
        <v>43.1</v>
      </c>
      <c r="D9" s="4">
        <v>28.95</v>
      </c>
      <c r="E9" s="4">
        <v>1</v>
      </c>
      <c r="F9" s="4">
        <v>223</v>
      </c>
      <c r="G9" s="4">
        <v>41.3</v>
      </c>
      <c r="H9" s="4" t="s">
        <v>46</v>
      </c>
      <c r="I9" s="4">
        <v>55</v>
      </c>
      <c r="J9" s="5"/>
    </row>
    <row r="10" spans="1:18" ht="15.75">
      <c r="A10" s="4">
        <v>9</v>
      </c>
      <c r="B10" s="4" t="s">
        <v>54</v>
      </c>
      <c r="C10" s="4">
        <v>39.6</v>
      </c>
      <c r="D10" s="4">
        <v>27.1</v>
      </c>
      <c r="E10" s="4">
        <v>0</v>
      </c>
      <c r="F10" s="4">
        <v>220</v>
      </c>
      <c r="G10" s="4"/>
      <c r="H10" s="4" t="s">
        <v>45</v>
      </c>
      <c r="I10" s="4">
        <v>60</v>
      </c>
      <c r="J10" s="5"/>
    </row>
    <row r="11" spans="1:18" ht="15.75">
      <c r="A11" s="5">
        <v>10</v>
      </c>
      <c r="B11" s="5" t="s">
        <v>55</v>
      </c>
      <c r="C11" s="5">
        <v>33.799999999999997</v>
      </c>
      <c r="D11" s="5">
        <v>28</v>
      </c>
      <c r="E11" s="5">
        <v>0</v>
      </c>
      <c r="F11" s="5">
        <v>195</v>
      </c>
      <c r="G11" s="5" t="s">
        <v>48</v>
      </c>
      <c r="H11" s="5" t="s">
        <v>49</v>
      </c>
      <c r="I11" s="5" t="s">
        <v>8</v>
      </c>
      <c r="J11" s="5"/>
    </row>
    <row r="12" spans="1:18" ht="15.75">
      <c r="A12" s="5"/>
      <c r="B12" s="4"/>
      <c r="C12" s="5"/>
      <c r="D12" s="5"/>
      <c r="E12" s="5"/>
      <c r="F12" s="5"/>
      <c r="G12" s="5"/>
      <c r="H12" s="5"/>
      <c r="I12" s="5" t="s">
        <v>56</v>
      </c>
      <c r="J12" s="5"/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8">
      <c r="I14" s="6"/>
    </row>
    <row r="15" spans="1:18" ht="15.75">
      <c r="N15" s="4">
        <v>25.63</v>
      </c>
    </row>
    <row r="16" spans="1:18" ht="15.75">
      <c r="N16" s="4">
        <v>39.85</v>
      </c>
    </row>
    <row r="17" spans="1:14" ht="15.75">
      <c r="N17" s="4">
        <v>41.7</v>
      </c>
    </row>
    <row r="18" spans="1:14" ht="16.5" thickBot="1">
      <c r="N18" s="4">
        <v>44.1</v>
      </c>
    </row>
    <row r="19" spans="1:14" ht="17.25" thickTop="1" thickBot="1">
      <c r="A19" s="31">
        <v>1</v>
      </c>
      <c r="B19" s="32" t="s">
        <v>52</v>
      </c>
      <c r="C19" s="31"/>
      <c r="D19" s="31" t="s">
        <v>79</v>
      </c>
      <c r="E19" s="31">
        <v>88</v>
      </c>
      <c r="N19" s="4">
        <v>42.05</v>
      </c>
    </row>
    <row r="20" spans="1:14" ht="17.25" thickTop="1" thickBot="1">
      <c r="A20" s="31">
        <v>2</v>
      </c>
      <c r="B20" s="32" t="s">
        <v>75</v>
      </c>
      <c r="C20" s="31"/>
      <c r="D20" s="31" t="s">
        <v>80</v>
      </c>
      <c r="E20" s="31">
        <v>75</v>
      </c>
      <c r="N20" s="4">
        <v>40.200000000000003</v>
      </c>
    </row>
    <row r="21" spans="1:14" ht="17.25" thickTop="1" thickBot="1">
      <c r="A21" s="31">
        <v>3</v>
      </c>
      <c r="B21" s="32" t="s">
        <v>35</v>
      </c>
      <c r="C21" s="31"/>
      <c r="D21" s="31" t="s">
        <v>81</v>
      </c>
      <c r="E21" s="31">
        <v>60</v>
      </c>
      <c r="N21" s="4">
        <v>43.1</v>
      </c>
    </row>
    <row r="22" spans="1:14" ht="17.25" thickTop="1" thickBot="1">
      <c r="A22" s="31">
        <v>4</v>
      </c>
      <c r="B22" s="32" t="s">
        <v>36</v>
      </c>
      <c r="C22" s="31"/>
      <c r="D22" s="31" t="s">
        <v>80</v>
      </c>
      <c r="E22" s="31">
        <v>60</v>
      </c>
      <c r="N22" s="4">
        <v>39.6</v>
      </c>
    </row>
    <row r="23" spans="1:14" ht="17.25" thickTop="1" thickBot="1">
      <c r="A23" s="31">
        <v>5</v>
      </c>
      <c r="B23" s="32" t="s">
        <v>37</v>
      </c>
      <c r="C23" s="31"/>
      <c r="D23" s="31" t="s">
        <v>81</v>
      </c>
      <c r="E23" s="31">
        <v>55</v>
      </c>
    </row>
    <row r="24" spans="1:14" ht="17.25" thickTop="1" thickBot="1">
      <c r="A24" s="31">
        <v>6</v>
      </c>
      <c r="B24" s="32" t="s">
        <v>76</v>
      </c>
      <c r="C24" s="31"/>
      <c r="D24" s="31" t="s">
        <v>80</v>
      </c>
      <c r="E24" s="31">
        <v>55</v>
      </c>
      <c r="N24">
        <f>SUM(N15:N23)/8</f>
        <v>39.528750000000002</v>
      </c>
    </row>
    <row r="25" spans="1:14" ht="17.25" thickTop="1" thickBot="1">
      <c r="A25" s="31">
        <v>7</v>
      </c>
      <c r="B25" s="33" t="s">
        <v>38</v>
      </c>
      <c r="C25" s="31"/>
      <c r="D25" s="31" t="s">
        <v>80</v>
      </c>
      <c r="E25" s="31">
        <v>55</v>
      </c>
    </row>
    <row r="26" spans="1:14" ht="17.25" thickTop="1" thickBot="1">
      <c r="A26" s="31">
        <v>8</v>
      </c>
      <c r="B26" s="32" t="s">
        <v>53</v>
      </c>
      <c r="C26" s="31"/>
      <c r="D26" s="31" t="s">
        <v>81</v>
      </c>
      <c r="E26" s="31">
        <v>55</v>
      </c>
    </row>
    <row r="27" spans="1:14" ht="17.25" thickTop="1" thickBot="1">
      <c r="A27" s="31">
        <v>9</v>
      </c>
      <c r="B27" s="32" t="s">
        <v>54</v>
      </c>
      <c r="C27" s="31"/>
      <c r="D27" s="31" t="s">
        <v>81</v>
      </c>
      <c r="E27" s="31">
        <v>60</v>
      </c>
    </row>
    <row r="28" spans="1:14" ht="17.25" thickTop="1" thickBot="1">
      <c r="A28" s="31" t="s">
        <v>84</v>
      </c>
      <c r="B28" s="31"/>
      <c r="C28" s="31"/>
      <c r="D28" s="31"/>
      <c r="E28" s="31">
        <f>SUM(E19:E27)/9</f>
        <v>62.555555555555557</v>
      </c>
    </row>
    <row r="29" spans="1:14" ht="17.25" thickTop="1" thickBot="1">
      <c r="A29" s="31"/>
      <c r="B29" s="31"/>
      <c r="C29" s="31"/>
      <c r="D29" s="31"/>
      <c r="E29" s="31"/>
    </row>
    <row r="30" spans="1:14" ht="17.25" thickTop="1" thickBot="1">
      <c r="A30" s="31"/>
      <c r="B30" s="31"/>
      <c r="C30" s="31"/>
      <c r="D30" s="31"/>
      <c r="E30" s="31"/>
    </row>
    <row r="31" spans="1:14" ht="15.75" thickTop="1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T44"/>
  <sheetViews>
    <sheetView tabSelected="1" zoomScale="70" zoomScaleNormal="70" workbookViewId="0">
      <selection activeCell="J26" sqref="J26"/>
    </sheetView>
  </sheetViews>
  <sheetFormatPr defaultRowHeight="15.75"/>
  <cols>
    <col min="1" max="1" width="10.5703125" style="1" customWidth="1"/>
    <col min="2" max="2" width="29" style="1" customWidth="1"/>
    <col min="3" max="3" width="16.7109375" style="1" customWidth="1"/>
    <col min="4" max="4" width="13.42578125" style="1" customWidth="1"/>
    <col min="5" max="5" width="16.85546875" style="1" customWidth="1"/>
    <col min="6" max="6" width="9.140625" style="1"/>
    <col min="7" max="7" width="13.5703125" style="1" customWidth="1"/>
    <col min="8" max="8" width="11.85546875" style="1" customWidth="1"/>
    <col min="9" max="16384" width="9.140625" style="1"/>
  </cols>
  <sheetData>
    <row r="1" spans="1:19" ht="47.25">
      <c r="A1" s="21" t="s">
        <v>0</v>
      </c>
      <c r="B1" s="10" t="s">
        <v>34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3"/>
    </row>
    <row r="2" spans="1:19">
      <c r="A2" s="4">
        <v>1</v>
      </c>
      <c r="B2" s="4" t="s">
        <v>57</v>
      </c>
      <c r="C2" s="4">
        <v>7.25</v>
      </c>
      <c r="D2" s="4">
        <v>20.7</v>
      </c>
      <c r="E2" s="4">
        <v>0</v>
      </c>
      <c r="F2" s="4">
        <v>190</v>
      </c>
      <c r="G2" s="4" t="s">
        <v>8</v>
      </c>
      <c r="H2" s="4" t="s">
        <v>9</v>
      </c>
      <c r="I2" s="4" t="s">
        <v>12</v>
      </c>
      <c r="J2" s="3"/>
    </row>
    <row r="3" spans="1:19">
      <c r="A3" s="4">
        <v>2</v>
      </c>
      <c r="B3" s="4" t="s">
        <v>57</v>
      </c>
      <c r="C3" s="4">
        <v>11.95</v>
      </c>
      <c r="D3" s="4">
        <v>21.9</v>
      </c>
      <c r="E3" s="4">
        <v>1</v>
      </c>
      <c r="F3" s="4">
        <v>210</v>
      </c>
      <c r="G3" s="4">
        <v>21.25</v>
      </c>
      <c r="H3" s="4" t="s">
        <v>66</v>
      </c>
      <c r="I3" s="4">
        <v>100</v>
      </c>
      <c r="J3" s="3"/>
    </row>
    <row r="4" spans="1:19">
      <c r="A4" s="4">
        <v>3</v>
      </c>
      <c r="B4" s="4" t="s">
        <v>58</v>
      </c>
      <c r="C4" s="4">
        <v>36.1</v>
      </c>
      <c r="D4" s="4">
        <v>23.5</v>
      </c>
      <c r="E4" s="4">
        <v>1</v>
      </c>
      <c r="F4" s="4">
        <v>192</v>
      </c>
      <c r="G4" s="4">
        <v>35.6</v>
      </c>
      <c r="H4" s="4" t="s">
        <v>10</v>
      </c>
      <c r="I4" s="4">
        <v>95</v>
      </c>
      <c r="J4" s="3"/>
    </row>
    <row r="5" spans="1:19">
      <c r="A5" s="4">
        <v>4</v>
      </c>
      <c r="B5" s="4" t="s">
        <v>59</v>
      </c>
      <c r="C5" s="4">
        <v>35.25</v>
      </c>
      <c r="D5" s="4">
        <v>21.2</v>
      </c>
      <c r="E5" s="4">
        <v>1</v>
      </c>
      <c r="F5" s="4">
        <v>220</v>
      </c>
      <c r="G5" s="4">
        <v>35.200000000000003</v>
      </c>
      <c r="H5" s="4" t="s">
        <v>11</v>
      </c>
      <c r="I5" s="4">
        <v>85</v>
      </c>
      <c r="J5" s="3"/>
    </row>
    <row r="6" spans="1:19">
      <c r="A6" s="4">
        <v>5</v>
      </c>
      <c r="B6" s="4" t="s">
        <v>60</v>
      </c>
      <c r="C6" s="4">
        <v>34</v>
      </c>
      <c r="D6" s="4">
        <v>20.8</v>
      </c>
      <c r="E6" s="4">
        <v>1</v>
      </c>
      <c r="F6" s="4">
        <v>221</v>
      </c>
      <c r="G6" s="4">
        <v>34.25</v>
      </c>
      <c r="H6" s="4" t="s">
        <v>69</v>
      </c>
      <c r="I6" s="4">
        <v>80</v>
      </c>
      <c r="J6" s="3"/>
    </row>
    <row r="7" spans="1:19">
      <c r="A7" s="4">
        <v>6</v>
      </c>
      <c r="B7" s="4" t="s">
        <v>65</v>
      </c>
      <c r="C7" s="4">
        <v>35.6</v>
      </c>
      <c r="D7" s="4">
        <v>22.6</v>
      </c>
      <c r="E7" s="4">
        <v>1</v>
      </c>
      <c r="F7" s="4">
        <v>210</v>
      </c>
      <c r="G7" s="4">
        <v>34.4</v>
      </c>
      <c r="H7" s="4" t="s">
        <v>67</v>
      </c>
      <c r="I7" s="4">
        <v>80</v>
      </c>
      <c r="J7" s="3"/>
    </row>
    <row r="8" spans="1:19">
      <c r="A8" s="4">
        <v>7</v>
      </c>
      <c r="B8" s="4" t="s">
        <v>64</v>
      </c>
      <c r="C8" s="4">
        <v>36</v>
      </c>
      <c r="D8" s="4">
        <v>19.600000000000001</v>
      </c>
      <c r="E8" s="4">
        <v>1</v>
      </c>
      <c r="F8" s="4">
        <v>214</v>
      </c>
      <c r="G8" s="4">
        <v>35.700000000000003</v>
      </c>
      <c r="H8" s="4" t="s">
        <v>67</v>
      </c>
      <c r="I8" s="4">
        <v>75</v>
      </c>
      <c r="J8" s="3"/>
    </row>
    <row r="9" spans="1:19">
      <c r="A9" s="4">
        <v>8</v>
      </c>
      <c r="B9" s="12" t="s">
        <v>63</v>
      </c>
      <c r="C9" s="4">
        <v>37</v>
      </c>
      <c r="D9" s="4">
        <v>19.899999999999999</v>
      </c>
      <c r="E9" s="4">
        <v>1</v>
      </c>
      <c r="F9" s="4">
        <v>225</v>
      </c>
      <c r="G9" s="4">
        <v>36.4</v>
      </c>
      <c r="H9" s="4" t="s">
        <v>69</v>
      </c>
      <c r="I9" s="4">
        <v>80</v>
      </c>
      <c r="J9" s="3"/>
    </row>
    <row r="10" spans="1:19">
      <c r="A10" s="4">
        <v>9</v>
      </c>
      <c r="B10" s="4" t="s">
        <v>62</v>
      </c>
      <c r="C10" s="4">
        <v>30</v>
      </c>
      <c r="D10" s="4">
        <v>22.3</v>
      </c>
      <c r="E10" s="4">
        <v>1</v>
      </c>
      <c r="F10" s="4">
        <v>205</v>
      </c>
      <c r="G10" s="4">
        <v>32.9</v>
      </c>
      <c r="H10" s="4" t="s">
        <v>68</v>
      </c>
      <c r="I10" s="4">
        <v>80</v>
      </c>
      <c r="J10" s="3"/>
    </row>
    <row r="11" spans="1:19">
      <c r="A11" s="4">
        <v>10</v>
      </c>
      <c r="B11" s="5" t="s">
        <v>61</v>
      </c>
      <c r="C11" s="4">
        <v>34.1</v>
      </c>
      <c r="D11" s="4">
        <v>21.1</v>
      </c>
      <c r="E11" s="4">
        <v>0</v>
      </c>
      <c r="F11" s="4">
        <v>200</v>
      </c>
      <c r="G11" s="4" t="s">
        <v>8</v>
      </c>
      <c r="H11" s="4" t="s">
        <v>8</v>
      </c>
      <c r="I11" s="4" t="s">
        <v>8</v>
      </c>
      <c r="J11" s="3"/>
    </row>
    <row r="12" spans="1:19">
      <c r="A12" s="19"/>
      <c r="B12" s="13"/>
      <c r="C12" s="19"/>
      <c r="D12" s="3"/>
      <c r="E12" s="3"/>
      <c r="F12" s="3"/>
      <c r="G12" s="3"/>
      <c r="H12" s="3"/>
      <c r="I12" s="3"/>
      <c r="J12" s="3"/>
    </row>
    <row r="13" spans="1:19">
      <c r="A13" s="20"/>
      <c r="B13" s="20"/>
      <c r="C13" s="20"/>
    </row>
    <row r="14" spans="1:19">
      <c r="O14"/>
      <c r="P14"/>
      <c r="Q14"/>
      <c r="R14"/>
      <c r="S14"/>
    </row>
    <row r="15" spans="1:19">
      <c r="O15"/>
      <c r="P15"/>
      <c r="Q15"/>
      <c r="R15"/>
      <c r="S15"/>
    </row>
    <row r="16" spans="1:19">
      <c r="O16"/>
      <c r="P16"/>
      <c r="Q16"/>
      <c r="R16"/>
      <c r="S16"/>
    </row>
    <row r="17" spans="1:20">
      <c r="O17"/>
      <c r="P17"/>
      <c r="Q17"/>
      <c r="R17"/>
      <c r="S17"/>
    </row>
    <row r="18" spans="1:20" ht="16.5" thickBot="1">
      <c r="O18"/>
      <c r="P18"/>
      <c r="Q18"/>
      <c r="R18"/>
      <c r="S18"/>
    </row>
    <row r="19" spans="1:20" ht="17.25" thickTop="1" thickBot="1">
      <c r="A19" s="25">
        <v>1</v>
      </c>
      <c r="B19" s="26" t="s">
        <v>57</v>
      </c>
      <c r="C19" s="25"/>
      <c r="D19" s="25">
        <v>100</v>
      </c>
      <c r="E19" s="25"/>
      <c r="O19"/>
      <c r="P19"/>
      <c r="Q19"/>
      <c r="R19"/>
      <c r="S19"/>
    </row>
    <row r="20" spans="1:20" ht="17.25" thickTop="1" thickBot="1">
      <c r="A20" s="25">
        <v>2</v>
      </c>
      <c r="B20" s="26" t="s">
        <v>58</v>
      </c>
      <c r="C20" s="25"/>
      <c r="D20" s="25">
        <v>95</v>
      </c>
      <c r="E20" s="25"/>
      <c r="O20"/>
      <c r="P20"/>
      <c r="Q20"/>
      <c r="R20"/>
      <c r="S20"/>
    </row>
    <row r="21" spans="1:20" ht="17.25" thickTop="1" thickBot="1">
      <c r="A21" s="25">
        <v>3</v>
      </c>
      <c r="B21" s="26" t="s">
        <v>59</v>
      </c>
      <c r="C21" s="25"/>
      <c r="D21" s="25">
        <v>85</v>
      </c>
      <c r="E21" s="25"/>
      <c r="O21"/>
      <c r="P21"/>
      <c r="Q21"/>
      <c r="R21"/>
      <c r="S21"/>
    </row>
    <row r="22" spans="1:20" ht="17.25" thickTop="1" thickBot="1">
      <c r="A22" s="25">
        <v>4</v>
      </c>
      <c r="B22" s="26" t="s">
        <v>82</v>
      </c>
      <c r="C22" s="25"/>
      <c r="D22" s="25">
        <v>85</v>
      </c>
      <c r="E22" s="25"/>
      <c r="O22"/>
      <c r="P22"/>
      <c r="Q22"/>
      <c r="R22"/>
      <c r="S22"/>
    </row>
    <row r="23" spans="1:20" ht="17.25" thickTop="1" thickBot="1">
      <c r="A23" s="25">
        <v>5</v>
      </c>
      <c r="B23" s="26" t="s">
        <v>60</v>
      </c>
      <c r="C23" s="25"/>
      <c r="D23" s="25">
        <v>80</v>
      </c>
      <c r="E23" s="25"/>
      <c r="L23"/>
      <c r="M23"/>
      <c r="N23"/>
      <c r="O23"/>
      <c r="P23"/>
      <c r="Q23"/>
      <c r="R23"/>
      <c r="S23"/>
      <c r="T23"/>
    </row>
    <row r="24" spans="1:20" ht="17.25" thickTop="1" thickBot="1">
      <c r="A24" s="25">
        <v>6</v>
      </c>
      <c r="B24" s="26" t="s">
        <v>65</v>
      </c>
      <c r="C24" s="25"/>
      <c r="D24" s="25">
        <v>80</v>
      </c>
      <c r="E24" s="25"/>
      <c r="L24"/>
      <c r="M24"/>
      <c r="N24"/>
      <c r="O24"/>
      <c r="P24"/>
      <c r="Q24"/>
      <c r="R24"/>
      <c r="S24"/>
      <c r="T24"/>
    </row>
    <row r="25" spans="1:20" ht="17.25" thickTop="1" thickBot="1">
      <c r="A25" s="25">
        <v>7</v>
      </c>
      <c r="B25" s="26" t="s">
        <v>83</v>
      </c>
      <c r="C25" s="25"/>
      <c r="D25" s="25">
        <v>80</v>
      </c>
      <c r="E25" s="25"/>
      <c r="L25"/>
      <c r="M25"/>
      <c r="N25"/>
      <c r="O25"/>
      <c r="P25"/>
      <c r="Q25"/>
      <c r="R25"/>
      <c r="S25"/>
      <c r="T25"/>
    </row>
    <row r="26" spans="1:20" ht="17.25" thickTop="1" thickBot="1">
      <c r="A26" s="25">
        <v>8</v>
      </c>
      <c r="B26" s="27" t="s">
        <v>64</v>
      </c>
      <c r="C26" s="25"/>
      <c r="D26" s="25">
        <v>75</v>
      </c>
      <c r="E26" s="25"/>
      <c r="L26"/>
      <c r="M26"/>
      <c r="N26"/>
      <c r="O26"/>
      <c r="P26"/>
      <c r="Q26"/>
      <c r="R26"/>
      <c r="S26"/>
      <c r="T26"/>
    </row>
    <row r="27" spans="1:20" ht="17.25" thickTop="1" thickBot="1">
      <c r="A27" s="25">
        <v>9</v>
      </c>
      <c r="B27" s="26" t="s">
        <v>63</v>
      </c>
      <c r="C27" s="25"/>
      <c r="D27" s="25">
        <v>80</v>
      </c>
      <c r="E27" s="25"/>
      <c r="L27"/>
      <c r="M27"/>
      <c r="N27"/>
      <c r="O27"/>
      <c r="P27"/>
      <c r="Q27"/>
      <c r="R27"/>
      <c r="S27"/>
      <c r="T27"/>
    </row>
    <row r="28" spans="1:20" ht="17.25" thickTop="1" thickBot="1">
      <c r="A28" s="25">
        <v>10</v>
      </c>
      <c r="B28" s="28" t="s">
        <v>62</v>
      </c>
      <c r="C28" s="25"/>
      <c r="D28" s="25">
        <v>80</v>
      </c>
      <c r="E28" s="25"/>
      <c r="L28"/>
      <c r="M28"/>
      <c r="N28"/>
      <c r="O28"/>
      <c r="P28"/>
      <c r="Q28"/>
      <c r="R28"/>
      <c r="S28"/>
      <c r="T28"/>
    </row>
    <row r="29" spans="1:20" ht="17.25" thickTop="1" thickBot="1">
      <c r="A29" s="25"/>
      <c r="B29" s="25"/>
      <c r="C29" s="25"/>
      <c r="D29" s="25"/>
      <c r="E29" s="25"/>
      <c r="L29"/>
      <c r="M29"/>
      <c r="N29"/>
      <c r="O29"/>
      <c r="P29"/>
      <c r="Q29"/>
      <c r="R29"/>
      <c r="S29"/>
      <c r="T29"/>
    </row>
    <row r="30" spans="1:20" ht="17.25" thickTop="1" thickBot="1">
      <c r="A30" s="25" t="s">
        <v>84</v>
      </c>
      <c r="B30" s="25"/>
      <c r="C30" s="25"/>
      <c r="D30" s="25">
        <f>SUM(D19:D29)/10</f>
        <v>84</v>
      </c>
      <c r="E30" s="25"/>
      <c r="L30"/>
      <c r="M30"/>
      <c r="N30"/>
      <c r="O30"/>
      <c r="P30"/>
      <c r="Q30"/>
      <c r="R30"/>
      <c r="S30"/>
      <c r="T30"/>
    </row>
    <row r="31" spans="1:20" ht="17.25" thickTop="1" thickBot="1">
      <c r="A31" s="25"/>
      <c r="B31" s="25"/>
      <c r="C31" s="25"/>
      <c r="D31" s="25"/>
      <c r="E31" s="25"/>
      <c r="L31"/>
      <c r="M31"/>
      <c r="N31"/>
      <c r="O31"/>
      <c r="P31"/>
      <c r="Q31"/>
      <c r="R31"/>
      <c r="S31"/>
      <c r="T31"/>
    </row>
    <row r="32" spans="1:20" ht="16.5" thickTop="1">
      <c r="L32"/>
      <c r="M32"/>
      <c r="N32"/>
      <c r="O32"/>
      <c r="P32"/>
      <c r="Q32"/>
      <c r="R32"/>
      <c r="S32"/>
      <c r="T32"/>
    </row>
    <row r="33" spans="12:20">
      <c r="L33"/>
      <c r="M33"/>
      <c r="N33"/>
      <c r="O33"/>
      <c r="P33"/>
      <c r="Q33"/>
      <c r="R33"/>
      <c r="S33"/>
      <c r="T33"/>
    </row>
    <row r="34" spans="12:20">
      <c r="L34"/>
      <c r="M34"/>
      <c r="N34"/>
      <c r="O34"/>
      <c r="P34"/>
      <c r="Q34"/>
      <c r="R34"/>
      <c r="S34"/>
      <c r="T34"/>
    </row>
    <row r="35" spans="12:20">
      <c r="L35"/>
      <c r="M35"/>
      <c r="N35"/>
      <c r="O35"/>
      <c r="P35"/>
      <c r="Q35"/>
      <c r="R35"/>
      <c r="S35"/>
      <c r="T35"/>
    </row>
    <row r="36" spans="12:20">
      <c r="L36"/>
      <c r="M36"/>
      <c r="N36"/>
      <c r="O36"/>
      <c r="P36"/>
      <c r="Q36"/>
      <c r="R36"/>
      <c r="S36"/>
      <c r="T36"/>
    </row>
    <row r="37" spans="12:20">
      <c r="L37"/>
      <c r="M37"/>
      <c r="N37"/>
      <c r="O37"/>
      <c r="P37"/>
      <c r="Q37"/>
      <c r="R37"/>
      <c r="S37"/>
      <c r="T37"/>
    </row>
    <row r="38" spans="12:20">
      <c r="L38"/>
      <c r="M38"/>
      <c r="N38"/>
      <c r="O38"/>
      <c r="P38"/>
      <c r="Q38"/>
      <c r="R38"/>
      <c r="S38"/>
      <c r="T38"/>
    </row>
    <row r="39" spans="12:20">
      <c r="L39"/>
      <c r="M39"/>
      <c r="N39"/>
      <c r="O39"/>
      <c r="P39"/>
      <c r="Q39"/>
      <c r="R39"/>
      <c r="S39"/>
      <c r="T39"/>
    </row>
    <row r="40" spans="12:20">
      <c r="L40"/>
      <c r="M40"/>
      <c r="N40"/>
      <c r="O40"/>
      <c r="P40"/>
      <c r="Q40"/>
      <c r="R40"/>
      <c r="S40"/>
      <c r="T40"/>
    </row>
    <row r="41" spans="12:20">
      <c r="L41"/>
      <c r="M41"/>
      <c r="N41"/>
      <c r="O41"/>
      <c r="P41"/>
      <c r="Q41"/>
      <c r="R41"/>
      <c r="S41"/>
      <c r="T41"/>
    </row>
    <row r="42" spans="12:20">
      <c r="L42"/>
      <c r="M42"/>
      <c r="N42"/>
      <c r="O42"/>
      <c r="P42"/>
      <c r="Q42"/>
      <c r="R42"/>
      <c r="S42"/>
      <c r="T42"/>
    </row>
    <row r="43" spans="12:20">
      <c r="L43"/>
      <c r="M43"/>
      <c r="N43"/>
      <c r="O43"/>
      <c r="P43"/>
      <c r="Q43"/>
      <c r="R43"/>
      <c r="S43"/>
      <c r="T43"/>
    </row>
    <row r="44" spans="12:20">
      <c r="L44"/>
      <c r="M44"/>
      <c r="N44"/>
      <c r="O44"/>
      <c r="P44"/>
      <c r="Q44"/>
      <c r="R44"/>
      <c r="S44"/>
      <c r="T4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2026-03-05T08:48:29Z</dcterms:modified>
</cp:coreProperties>
</file>