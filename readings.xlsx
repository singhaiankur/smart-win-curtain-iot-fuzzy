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S39" i="3"/>
  <c r="O24" i="1"/>
  <c r="N24" i="2"/>
  <c r="M34" i="3"/>
  <c r="D30"/>
  <c r="E28" i="2"/>
  <c r="D35" i="1"/>
</calcChain>
</file>

<file path=xl/sharedStrings.xml><?xml version="1.0" encoding="utf-8"?>
<sst xmlns="http://schemas.openxmlformats.org/spreadsheetml/2006/main" count="188" uniqueCount="86">
  <si>
    <t>S. No.</t>
  </si>
  <si>
    <t>Light Intensity</t>
  </si>
  <si>
    <t>Temp (°C)</t>
  </si>
  <si>
    <t>PIR</t>
  </si>
  <si>
    <t>Air Quality</t>
  </si>
  <si>
    <t>Fuzzy Output</t>
  </si>
  <si>
    <t>Curtain Angle (°)</t>
  </si>
  <si>
    <t>Light Utilization (%)</t>
  </si>
  <si>
    <t>–</t>
  </si>
  <si>
    <t>75 (Closed)</t>
  </si>
  <si>
    <t>45 (Partial)</t>
  </si>
  <si>
    <t>15 (Partial)</t>
  </si>
  <si>
    <t>-</t>
  </si>
  <si>
    <t>Input Light Intensity</t>
  </si>
  <si>
    <t>Input.Air Qty</t>
  </si>
  <si>
    <t>Input PIR val</t>
  </si>
  <si>
    <t>Light System Utilization (%)</t>
  </si>
  <si>
    <t>10:52am</t>
  </si>
  <si>
    <t>10:53am</t>
  </si>
  <si>
    <t>10:54am</t>
  </si>
  <si>
    <t>10:55am</t>
  </si>
  <si>
    <t>10:59am</t>
  </si>
  <si>
    <t>11:00am</t>
  </si>
  <si>
    <t>11:03am</t>
  </si>
  <si>
    <t>11:07am</t>
  </si>
  <si>
    <t>11:11am</t>
  </si>
  <si>
    <t>11:14am</t>
  </si>
  <si>
    <t>11:18am</t>
  </si>
  <si>
    <t>11:22am</t>
  </si>
  <si>
    <t>11:26am</t>
  </si>
  <si>
    <t>11:30am</t>
  </si>
  <si>
    <t>11:33am</t>
  </si>
  <si>
    <t>11:37am</t>
  </si>
  <si>
    <t>S.No</t>
  </si>
  <si>
    <t>Time</t>
  </si>
  <si>
    <t>02:06pm</t>
  </si>
  <si>
    <t>02:07pm</t>
  </si>
  <si>
    <t>02:08pm</t>
  </si>
  <si>
    <t>02:10pm</t>
  </si>
  <si>
    <t>02:12pm</t>
  </si>
  <si>
    <t>02:03pm</t>
  </si>
  <si>
    <t>Fuzzy Light Intensity</t>
  </si>
  <si>
    <t>Fuzzy Light Intensity Output</t>
  </si>
  <si>
    <t>75closed</t>
  </si>
  <si>
    <t>45partial</t>
  </si>
  <si>
    <t>15partial</t>
  </si>
  <si>
    <t>0 open</t>
  </si>
  <si>
    <t xml:space="preserve">              –</t>
  </si>
  <si>
    <t xml:space="preserve">               –</t>
  </si>
  <si>
    <t xml:space="preserve">     –</t>
  </si>
  <si>
    <t xml:space="preserve">Input Temprature </t>
  </si>
  <si>
    <t>65partial</t>
  </si>
  <si>
    <t>02:04pm</t>
  </si>
  <si>
    <t>02:11pm</t>
  </si>
  <si>
    <t>02:13pm</t>
  </si>
  <si>
    <t>02:14pm</t>
  </si>
  <si>
    <t xml:space="preserve"> </t>
  </si>
  <si>
    <t>05:09pm</t>
  </si>
  <si>
    <t>05:10pm</t>
  </si>
  <si>
    <t>05:11pm</t>
  </si>
  <si>
    <t>05:13pm</t>
  </si>
  <si>
    <t>05:20pm</t>
  </si>
  <si>
    <t>05:18pm</t>
  </si>
  <si>
    <t>05:17pm</t>
  </si>
  <si>
    <t>05:16pm</t>
  </si>
  <si>
    <t>05:14pm</t>
  </si>
  <si>
    <t>65 (Partial)</t>
  </si>
  <si>
    <t>25 (Partial)</t>
  </si>
  <si>
    <t>35 (Partial)</t>
  </si>
  <si>
    <t>30 (Partial)</t>
  </si>
  <si>
    <t>11:02am</t>
  </si>
  <si>
    <t>10:56am</t>
  </si>
  <si>
    <t>10:57am</t>
  </si>
  <si>
    <t>10:58am</t>
  </si>
  <si>
    <t>11:01am</t>
  </si>
  <si>
    <t>Avg. (95, 75, 60)</t>
  </si>
  <si>
    <t>02:05pm</t>
  </si>
  <si>
    <t>02:09pm</t>
  </si>
  <si>
    <t>Previous Value</t>
  </si>
  <si>
    <t>Available</t>
  </si>
  <si>
    <t>Avg(100+90+75)</t>
  </si>
  <si>
    <t>previous</t>
  </si>
  <si>
    <t>Present</t>
  </si>
  <si>
    <t>05:12pm</t>
  </si>
  <si>
    <t>05:15pm</t>
  </si>
  <si>
    <t>Total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</si>
</sst>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8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2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6" fillId="2" borderId="9" applyNumberFormat="0" applyAlignment="0" applyProtection="0"/>
  </cellStyleXfs>
  <cellXfs count="40">
    <xf numFmtId="0" fontId="0" fillId="0" borderId="0" xfId="0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right"/>
    </xf>
    <xf numFmtId="0" fontId="1" fillId="0" borderId="6" xfId="0" applyFont="1" applyBorder="1" applyAlignment="1">
      <alignment horizontal="right" wrapText="1"/>
    </xf>
    <xf numFmtId="0" fontId="1" fillId="0" borderId="6" xfId="0" applyFont="1" applyBorder="1" applyAlignment="1">
      <alignment horizontal="right"/>
    </xf>
    <xf numFmtId="9" fontId="0" fillId="0" borderId="0" xfId="0" applyNumberFormat="1" applyAlignment="1">
      <alignment horizontal="right"/>
    </xf>
    <xf numFmtId="0" fontId="2" fillId="0" borderId="7" xfId="0" applyFont="1" applyFill="1" applyBorder="1" applyAlignment="1">
      <alignment horizontal="center" vertical="top" wrapText="1"/>
    </xf>
    <xf numFmtId="0" fontId="0" fillId="0" borderId="8" xfId="0" applyBorder="1"/>
    <xf numFmtId="0" fontId="0" fillId="0" borderId="0" xfId="0" applyBorder="1"/>
    <xf numFmtId="0" fontId="2" fillId="0" borderId="0" xfId="0" applyFont="1" applyBorder="1" applyAlignment="1">
      <alignment horizontal="center" vertical="top" wrapText="1"/>
    </xf>
    <xf numFmtId="0" fontId="4" fillId="0" borderId="6" xfId="0" applyFont="1" applyBorder="1" applyAlignment="1">
      <alignment horizontal="center" wrapText="1"/>
    </xf>
    <xf numFmtId="0" fontId="1" fillId="0" borderId="6" xfId="0" applyFont="1" applyBorder="1" applyAlignment="1"/>
    <xf numFmtId="20" fontId="1" fillId="0" borderId="6" xfId="0" applyNumberFormat="1" applyFont="1" applyBorder="1" applyAlignment="1">
      <alignment horizontal="right" wrapText="1"/>
    </xf>
    <xf numFmtId="0" fontId="1" fillId="0" borderId="0" xfId="0" applyFont="1" applyBorder="1" applyAlignment="1">
      <alignment horizontal="right" wrapText="1"/>
    </xf>
    <xf numFmtId="0" fontId="2" fillId="0" borderId="3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right"/>
    </xf>
    <xf numFmtId="0" fontId="1" fillId="0" borderId="0" xfId="0" applyFont="1" applyBorder="1"/>
    <xf numFmtId="0" fontId="4" fillId="0" borderId="6" xfId="0" applyFont="1" applyBorder="1" applyAlignment="1">
      <alignment horizontal="right" wrapText="1"/>
    </xf>
    <xf numFmtId="0" fontId="5" fillId="0" borderId="5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0" fontId="6" fillId="2" borderId="9" xfId="1"/>
    <xf numFmtId="0" fontId="6" fillId="2" borderId="9" xfId="1" applyAlignment="1">
      <alignment horizontal="right" wrapText="1"/>
    </xf>
    <xf numFmtId="20" fontId="6" fillId="2" borderId="9" xfId="1" applyNumberFormat="1" applyAlignment="1">
      <alignment horizontal="right" wrapText="1"/>
    </xf>
    <xf numFmtId="0" fontId="6" fillId="2" borderId="9" xfId="1" applyAlignment="1">
      <alignment horizontal="right"/>
    </xf>
    <xf numFmtId="0" fontId="6" fillId="2" borderId="9" xfId="1" applyAlignment="1">
      <alignment horizontal="center" vertical="center" wrapText="1"/>
    </xf>
    <xf numFmtId="0" fontId="6" fillId="2" borderId="9" xfId="1" applyAlignment="1">
      <alignment horizontal="center"/>
    </xf>
    <xf numFmtId="0" fontId="7" fillId="2" borderId="9" xfId="1" applyFont="1"/>
    <xf numFmtId="0" fontId="7" fillId="2" borderId="9" xfId="1" applyFont="1" applyAlignment="1">
      <alignment horizontal="right" wrapText="1"/>
    </xf>
    <xf numFmtId="20" fontId="7" fillId="2" borderId="9" xfId="1" applyNumberFormat="1" applyFont="1" applyAlignment="1">
      <alignment horizontal="right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2">
    <cellStyle name="Check Cell" xfId="1" builtinId="23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37"/>
  <sheetViews>
    <sheetView tabSelected="1" topLeftCell="B1" zoomScale="85" zoomScaleNormal="85" workbookViewId="0">
      <selection activeCell="J14" sqref="J14"/>
    </sheetView>
  </sheetViews>
  <sheetFormatPr defaultRowHeight="15"/>
  <cols>
    <col min="1" max="2" width="13" customWidth="1"/>
    <col min="3" max="3" width="14.7109375" customWidth="1"/>
    <col min="4" max="4" width="14.42578125" customWidth="1"/>
    <col min="5" max="5" width="13.140625" customWidth="1"/>
    <col min="6" max="7" width="16.7109375" customWidth="1"/>
    <col min="8" max="8" width="21.28515625" customWidth="1"/>
    <col min="9" max="9" width="21" customWidth="1"/>
    <col min="10" max="10" width="27.85546875" customWidth="1"/>
  </cols>
  <sheetData>
    <row r="1" spans="1:15" ht="15" customHeight="1">
      <c r="A1" s="35" t="s">
        <v>33</v>
      </c>
      <c r="B1" s="35" t="s">
        <v>34</v>
      </c>
      <c r="C1" s="35" t="s">
        <v>13</v>
      </c>
      <c r="D1" s="35" t="s">
        <v>50</v>
      </c>
      <c r="E1" s="35" t="s">
        <v>14</v>
      </c>
      <c r="F1" s="35" t="s">
        <v>15</v>
      </c>
      <c r="G1" s="35" t="s">
        <v>6</v>
      </c>
      <c r="H1" s="35" t="s">
        <v>42</v>
      </c>
      <c r="I1" s="35" t="s">
        <v>16</v>
      </c>
    </row>
    <row r="2" spans="1:15" ht="15" customHeight="1">
      <c r="A2" s="36"/>
      <c r="B2" s="36"/>
      <c r="C2" s="36"/>
      <c r="D2" s="36"/>
      <c r="E2" s="36"/>
      <c r="F2" s="36"/>
      <c r="G2" s="38"/>
      <c r="H2" s="36"/>
      <c r="I2" s="36"/>
    </row>
    <row r="3" spans="1:15" ht="15.75" customHeight="1" thickBot="1">
      <c r="A3" s="37"/>
      <c r="B3" s="37"/>
      <c r="C3" s="37"/>
      <c r="D3" s="37"/>
      <c r="E3" s="37"/>
      <c r="F3" s="37"/>
      <c r="G3" s="39"/>
      <c r="H3" s="37"/>
      <c r="I3" s="37"/>
    </row>
    <row r="4" spans="1:15" ht="15.75" thickBot="1">
      <c r="A4" s="15">
        <v>1</v>
      </c>
      <c r="B4" s="16" t="s">
        <v>17</v>
      </c>
      <c r="C4" s="17">
        <v>9.2799999999999994</v>
      </c>
      <c r="D4" s="17">
        <v>20.9</v>
      </c>
      <c r="E4" s="17">
        <v>201</v>
      </c>
      <c r="F4" s="17">
        <v>0</v>
      </c>
      <c r="G4" s="18" t="s">
        <v>43</v>
      </c>
      <c r="H4" s="19" t="s">
        <v>12</v>
      </c>
      <c r="I4" s="19" t="s">
        <v>12</v>
      </c>
    </row>
    <row r="5" spans="1:15" ht="15.75" thickBot="1">
      <c r="A5" s="15">
        <v>2</v>
      </c>
      <c r="B5" s="18" t="s">
        <v>18</v>
      </c>
      <c r="C5" s="17">
        <v>8.89</v>
      </c>
      <c r="D5" s="17">
        <v>27.72</v>
      </c>
      <c r="E5" s="17">
        <v>220</v>
      </c>
      <c r="F5" s="17">
        <v>0</v>
      </c>
      <c r="G5" s="18" t="s">
        <v>43</v>
      </c>
      <c r="H5" s="19" t="s">
        <v>12</v>
      </c>
      <c r="I5" s="19" t="s">
        <v>12</v>
      </c>
    </row>
    <row r="6" spans="1:15" ht="15.75" thickBot="1">
      <c r="A6" s="15">
        <v>3</v>
      </c>
      <c r="B6" s="18" t="s">
        <v>19</v>
      </c>
      <c r="C6" s="17">
        <v>40.53</v>
      </c>
      <c r="D6" s="17">
        <v>23.33</v>
      </c>
      <c r="E6" s="17">
        <v>195</v>
      </c>
      <c r="F6" s="17">
        <v>1</v>
      </c>
      <c r="G6" s="18" t="s">
        <v>44</v>
      </c>
      <c r="H6" s="19">
        <v>33.32</v>
      </c>
      <c r="I6" s="23">
        <v>98</v>
      </c>
      <c r="J6" s="8"/>
      <c r="K6" s="9"/>
      <c r="L6" s="9"/>
    </row>
    <row r="7" spans="1:15" ht="15.75" thickBot="1">
      <c r="A7" s="15">
        <v>4</v>
      </c>
      <c r="B7" s="18" t="s">
        <v>20</v>
      </c>
      <c r="C7" s="17">
        <v>41.1</v>
      </c>
      <c r="D7" s="17">
        <v>20.7</v>
      </c>
      <c r="E7" s="17">
        <v>215</v>
      </c>
      <c r="F7" s="17">
        <v>1</v>
      </c>
      <c r="G7" s="18" t="s">
        <v>45</v>
      </c>
      <c r="H7" s="19">
        <v>41.32</v>
      </c>
      <c r="I7" s="24">
        <v>95</v>
      </c>
      <c r="J7" s="8"/>
      <c r="K7" s="9"/>
      <c r="L7" s="9"/>
    </row>
    <row r="8" spans="1:15" ht="15.75" thickBot="1">
      <c r="A8" s="15">
        <v>5</v>
      </c>
      <c r="B8" s="18" t="s">
        <v>20</v>
      </c>
      <c r="C8" s="17">
        <v>44.54</v>
      </c>
      <c r="D8" s="17">
        <v>20.57</v>
      </c>
      <c r="E8" s="17">
        <v>201</v>
      </c>
      <c r="F8" s="17">
        <v>1</v>
      </c>
      <c r="G8" s="18" t="s">
        <v>45</v>
      </c>
      <c r="H8" s="19">
        <v>42</v>
      </c>
      <c r="I8" s="24">
        <v>75</v>
      </c>
      <c r="J8" s="8"/>
      <c r="K8" s="9"/>
      <c r="L8" s="9"/>
    </row>
    <row r="9" spans="1:15" ht="15.75" thickBot="1">
      <c r="A9" s="15">
        <v>6</v>
      </c>
      <c r="B9" s="18" t="s">
        <v>20</v>
      </c>
      <c r="C9" s="17">
        <v>41.54</v>
      </c>
      <c r="D9" s="17">
        <v>25.74</v>
      </c>
      <c r="E9" s="17">
        <v>196</v>
      </c>
      <c r="F9" s="17">
        <v>1</v>
      </c>
      <c r="G9" s="18" t="s">
        <v>46</v>
      </c>
      <c r="H9" s="19">
        <v>41.25</v>
      </c>
      <c r="I9" s="24">
        <v>60</v>
      </c>
      <c r="J9" s="8"/>
      <c r="K9" s="10"/>
      <c r="L9" s="9"/>
    </row>
    <row r="10" spans="1:15" ht="15.75" thickBot="1">
      <c r="A10" s="15">
        <v>7</v>
      </c>
      <c r="B10" s="18" t="s">
        <v>21</v>
      </c>
      <c r="C10" s="17">
        <v>39.729999999999997</v>
      </c>
      <c r="D10" s="17">
        <v>19.5</v>
      </c>
      <c r="E10" s="17">
        <v>220</v>
      </c>
      <c r="F10" s="17">
        <v>1</v>
      </c>
      <c r="G10" s="18" t="s">
        <v>46</v>
      </c>
      <c r="H10" s="19">
        <v>42.3</v>
      </c>
      <c r="I10" s="24">
        <v>50</v>
      </c>
      <c r="J10" s="8"/>
      <c r="K10" s="10"/>
      <c r="L10" s="9"/>
    </row>
    <row r="11" spans="1:15" ht="15.75" thickBot="1">
      <c r="A11" s="15">
        <v>8</v>
      </c>
      <c r="B11" s="18" t="s">
        <v>22</v>
      </c>
      <c r="C11" s="17">
        <v>42.36</v>
      </c>
      <c r="D11" s="17">
        <v>19.45</v>
      </c>
      <c r="E11" s="17">
        <v>223</v>
      </c>
      <c r="F11" s="17">
        <v>1</v>
      </c>
      <c r="G11" s="18" t="s">
        <v>46</v>
      </c>
      <c r="H11" s="19">
        <v>38.200000000000003</v>
      </c>
      <c r="I11" s="24">
        <v>45</v>
      </c>
      <c r="J11" s="8"/>
      <c r="K11" s="10"/>
      <c r="L11" s="9"/>
    </row>
    <row r="12" spans="1:15" ht="15.75" thickBot="1">
      <c r="A12" s="15">
        <v>9</v>
      </c>
      <c r="B12" s="18" t="s">
        <v>70</v>
      </c>
      <c r="C12" s="17">
        <v>39.19</v>
      </c>
      <c r="D12" s="17">
        <v>21.96</v>
      </c>
      <c r="E12" s="17">
        <v>225</v>
      </c>
      <c r="F12" s="17">
        <v>1</v>
      </c>
      <c r="G12" s="18" t="s">
        <v>45</v>
      </c>
      <c r="H12" s="19">
        <v>41.3</v>
      </c>
      <c r="I12" s="24">
        <v>50</v>
      </c>
      <c r="J12" s="8"/>
      <c r="K12" s="10"/>
      <c r="L12" s="9"/>
    </row>
    <row r="13" spans="1:15" ht="15.75" thickBot="1">
      <c r="A13" s="15">
        <v>10</v>
      </c>
      <c r="B13" s="18" t="s">
        <v>23</v>
      </c>
      <c r="C13" s="17">
        <v>34.06</v>
      </c>
      <c r="D13" s="17">
        <v>20.85</v>
      </c>
      <c r="E13" s="17">
        <v>242</v>
      </c>
      <c r="F13" s="17">
        <v>0</v>
      </c>
      <c r="G13" s="18" t="s">
        <v>12</v>
      </c>
      <c r="H13" s="19" t="s">
        <v>12</v>
      </c>
      <c r="I13" s="19" t="s">
        <v>12</v>
      </c>
      <c r="J13" s="8"/>
      <c r="K13" s="10"/>
      <c r="L13" s="9"/>
    </row>
    <row r="14" spans="1:15" ht="15.75" thickBot="1">
      <c r="A14" s="15">
        <v>11</v>
      </c>
      <c r="B14" s="18" t="s">
        <v>24</v>
      </c>
      <c r="C14" s="17">
        <v>19.88</v>
      </c>
      <c r="D14" s="17">
        <v>20.2</v>
      </c>
      <c r="E14" s="17">
        <v>222</v>
      </c>
      <c r="F14" s="17">
        <v>0</v>
      </c>
      <c r="G14" s="18" t="s">
        <v>12</v>
      </c>
      <c r="H14" s="19" t="s">
        <v>12</v>
      </c>
      <c r="I14" s="19" t="s">
        <v>12</v>
      </c>
      <c r="J14" s="8"/>
      <c r="K14" s="10"/>
      <c r="L14" s="9"/>
    </row>
    <row r="15" spans="1:15" ht="15.75" thickBot="1">
      <c r="A15" s="15">
        <v>12</v>
      </c>
      <c r="B15" s="18" t="s">
        <v>25</v>
      </c>
      <c r="C15" s="17">
        <v>10.38</v>
      </c>
      <c r="D15" s="17">
        <v>20.36</v>
      </c>
      <c r="E15" s="17">
        <v>225</v>
      </c>
      <c r="F15" s="17">
        <v>0</v>
      </c>
      <c r="G15" s="18" t="s">
        <v>12</v>
      </c>
      <c r="H15" s="19" t="s">
        <v>12</v>
      </c>
      <c r="I15" s="19" t="s">
        <v>12</v>
      </c>
      <c r="J15" s="8"/>
      <c r="K15" s="10"/>
      <c r="L15" s="9"/>
    </row>
    <row r="16" spans="1:15" ht="15.75" thickBot="1">
      <c r="A16" s="15">
        <v>13</v>
      </c>
      <c r="B16" s="18" t="s">
        <v>26</v>
      </c>
      <c r="C16" s="17">
        <v>11.01</v>
      </c>
      <c r="D16" s="17">
        <v>20.96</v>
      </c>
      <c r="E16" s="17">
        <v>190</v>
      </c>
      <c r="F16" s="17">
        <v>0</v>
      </c>
      <c r="G16" s="18" t="s">
        <v>12</v>
      </c>
      <c r="H16" s="19" t="s">
        <v>12</v>
      </c>
      <c r="I16" s="19" t="s">
        <v>12</v>
      </c>
      <c r="J16" s="8"/>
      <c r="K16" s="9"/>
      <c r="L16" s="9"/>
      <c r="O16" s="17">
        <v>40.53</v>
      </c>
    </row>
    <row r="17" spans="1:15" ht="15.75" thickBot="1">
      <c r="A17" s="15">
        <v>14</v>
      </c>
      <c r="B17" s="18" t="s">
        <v>27</v>
      </c>
      <c r="C17" s="17">
        <v>12.6</v>
      </c>
      <c r="D17" s="17">
        <v>21.75</v>
      </c>
      <c r="E17" s="17">
        <v>198</v>
      </c>
      <c r="F17" s="17">
        <v>0</v>
      </c>
      <c r="G17" s="18" t="s">
        <v>12</v>
      </c>
      <c r="H17" s="19" t="s">
        <v>12</v>
      </c>
      <c r="I17" s="19" t="s">
        <v>12</v>
      </c>
      <c r="J17" s="8"/>
      <c r="K17" s="9"/>
      <c r="L17" s="9"/>
      <c r="O17" s="17">
        <v>41.1</v>
      </c>
    </row>
    <row r="18" spans="1:15" ht="15.75" thickBot="1">
      <c r="A18" s="15">
        <v>15</v>
      </c>
      <c r="B18" s="18" t="s">
        <v>28</v>
      </c>
      <c r="C18" s="17">
        <v>14.6</v>
      </c>
      <c r="D18" s="17">
        <v>22.9</v>
      </c>
      <c r="E18" s="17">
        <v>200</v>
      </c>
      <c r="F18" s="17">
        <v>0</v>
      </c>
      <c r="G18" s="18" t="s">
        <v>12</v>
      </c>
      <c r="H18" s="19" t="s">
        <v>12</v>
      </c>
      <c r="I18" s="19" t="s">
        <v>12</v>
      </c>
      <c r="O18" s="17">
        <v>44.54</v>
      </c>
    </row>
    <row r="19" spans="1:15" ht="15.75" thickBot="1">
      <c r="A19" s="15">
        <v>16</v>
      </c>
      <c r="B19" s="18" t="s">
        <v>29</v>
      </c>
      <c r="C19" s="17">
        <v>15.79</v>
      </c>
      <c r="D19" s="17">
        <v>20.38</v>
      </c>
      <c r="E19" s="17">
        <v>211</v>
      </c>
      <c r="F19" s="17">
        <v>0</v>
      </c>
      <c r="G19" s="18" t="s">
        <v>12</v>
      </c>
      <c r="H19" s="19" t="s">
        <v>12</v>
      </c>
      <c r="I19" s="19" t="s">
        <v>12</v>
      </c>
      <c r="O19" s="17">
        <v>41.54</v>
      </c>
    </row>
    <row r="20" spans="1:15" ht="15.75" thickBot="1">
      <c r="A20" s="15">
        <v>17</v>
      </c>
      <c r="B20" s="18" t="s">
        <v>30</v>
      </c>
      <c r="C20" s="17">
        <v>11.93</v>
      </c>
      <c r="D20" s="17">
        <v>21.57</v>
      </c>
      <c r="E20" s="17">
        <v>219</v>
      </c>
      <c r="F20" s="17">
        <v>0</v>
      </c>
      <c r="G20" s="18" t="s">
        <v>12</v>
      </c>
      <c r="H20" s="19" t="s">
        <v>12</v>
      </c>
      <c r="I20" s="19" t="s">
        <v>12</v>
      </c>
      <c r="O20" s="17">
        <v>39.729999999999997</v>
      </c>
    </row>
    <row r="21" spans="1:15" ht="15.75" thickBot="1">
      <c r="A21" s="15">
        <v>18</v>
      </c>
      <c r="B21" s="18" t="s">
        <v>31</v>
      </c>
      <c r="C21" s="17">
        <v>12.38</v>
      </c>
      <c r="D21" s="17">
        <v>20.81</v>
      </c>
      <c r="E21" s="17">
        <v>198</v>
      </c>
      <c r="F21" s="17">
        <v>0</v>
      </c>
      <c r="G21" s="18" t="s">
        <v>12</v>
      </c>
      <c r="H21" s="19" t="s">
        <v>12</v>
      </c>
      <c r="I21" s="19" t="s">
        <v>12</v>
      </c>
      <c r="O21" s="17">
        <v>42.36</v>
      </c>
    </row>
    <row r="22" spans="1:15" ht="15.75" thickBot="1">
      <c r="A22" s="15">
        <v>19</v>
      </c>
      <c r="B22" s="25" t="s">
        <v>32</v>
      </c>
      <c r="C22" s="17">
        <v>11.79</v>
      </c>
      <c r="D22" s="17">
        <v>21.95</v>
      </c>
      <c r="E22" s="17">
        <v>198</v>
      </c>
      <c r="F22" s="17">
        <v>0</v>
      </c>
      <c r="G22" s="18" t="s">
        <v>12</v>
      </c>
      <c r="H22" s="19" t="s">
        <v>12</v>
      </c>
      <c r="I22" s="19" t="s">
        <v>12</v>
      </c>
      <c r="O22" s="17">
        <v>39.19</v>
      </c>
    </row>
    <row r="23" spans="1:15">
      <c r="I23" s="7"/>
    </row>
    <row r="24" spans="1:15">
      <c r="O24">
        <f>SUM(O16:O23)/7</f>
        <v>41.284285714285708</v>
      </c>
    </row>
    <row r="25" spans="1:15" ht="15.75" thickBot="1">
      <c r="I25" t="s">
        <v>56</v>
      </c>
    </row>
    <row r="26" spans="1:15" ht="16.5" thickTop="1" thickBot="1">
      <c r="A26" s="26">
        <v>1</v>
      </c>
      <c r="B26" s="30" t="s">
        <v>19</v>
      </c>
      <c r="C26" s="31" t="s">
        <v>79</v>
      </c>
      <c r="D26" s="26">
        <v>100</v>
      </c>
    </row>
    <row r="27" spans="1:15" ht="16.5" thickTop="1" thickBot="1">
      <c r="A27" s="26">
        <v>2</v>
      </c>
      <c r="B27" s="30" t="s">
        <v>20</v>
      </c>
      <c r="C27" s="31" t="s">
        <v>75</v>
      </c>
      <c r="D27" s="26">
        <v>58</v>
      </c>
    </row>
    <row r="28" spans="1:15" ht="16.5" thickTop="1" thickBot="1">
      <c r="A28" s="26">
        <v>3</v>
      </c>
      <c r="B28" s="30" t="s">
        <v>71</v>
      </c>
      <c r="C28" s="31" t="s">
        <v>78</v>
      </c>
      <c r="D28" s="26">
        <v>60</v>
      </c>
    </row>
    <row r="29" spans="1:15" ht="16.5" thickTop="1" thickBot="1">
      <c r="A29" s="26">
        <v>4</v>
      </c>
      <c r="B29" s="30" t="s">
        <v>72</v>
      </c>
      <c r="C29" s="31" t="s">
        <v>78</v>
      </c>
      <c r="D29" s="26">
        <v>60</v>
      </c>
    </row>
    <row r="30" spans="1:15" ht="16.5" thickTop="1" thickBot="1">
      <c r="A30" s="26">
        <v>5</v>
      </c>
      <c r="B30" s="30" t="s">
        <v>73</v>
      </c>
      <c r="C30" s="31" t="s">
        <v>78</v>
      </c>
      <c r="D30" s="26">
        <v>60</v>
      </c>
    </row>
    <row r="31" spans="1:15" ht="16.5" thickTop="1" thickBot="1">
      <c r="A31" s="26">
        <v>6</v>
      </c>
      <c r="B31" s="30" t="s">
        <v>21</v>
      </c>
      <c r="C31" s="31" t="s">
        <v>79</v>
      </c>
      <c r="D31" s="26">
        <v>50</v>
      </c>
    </row>
    <row r="32" spans="1:15" ht="16.5" thickTop="1" thickBot="1">
      <c r="A32" s="26">
        <v>7</v>
      </c>
      <c r="B32" s="30" t="s">
        <v>22</v>
      </c>
      <c r="C32" s="31" t="s">
        <v>79</v>
      </c>
      <c r="D32" s="26">
        <v>45</v>
      </c>
    </row>
    <row r="33" spans="1:4" ht="16.5" thickTop="1" thickBot="1">
      <c r="A33" s="26">
        <v>8</v>
      </c>
      <c r="B33" s="30" t="s">
        <v>74</v>
      </c>
      <c r="C33" s="31" t="s">
        <v>79</v>
      </c>
      <c r="D33" s="26">
        <v>45</v>
      </c>
    </row>
    <row r="34" spans="1:4" ht="16.5" thickTop="1" thickBot="1">
      <c r="A34" s="26">
        <v>9</v>
      </c>
      <c r="B34" s="30" t="s">
        <v>70</v>
      </c>
      <c r="C34" s="31" t="s">
        <v>79</v>
      </c>
      <c r="D34" s="26">
        <v>50</v>
      </c>
    </row>
    <row r="35" spans="1:4" ht="16.5" thickTop="1" thickBot="1">
      <c r="A35" s="26" t="s">
        <v>85</v>
      </c>
      <c r="B35" s="26"/>
      <c r="C35" s="26"/>
      <c r="D35" s="26">
        <f>SUM(D26:D34)/9</f>
        <v>58.666666666666664</v>
      </c>
    </row>
    <row r="36" spans="1:4" ht="16.5" thickTop="1" thickBot="1">
      <c r="A36" s="26"/>
      <c r="B36" s="26"/>
      <c r="C36" s="26"/>
      <c r="D36" s="26"/>
    </row>
    <row r="37" spans="1:4" ht="15.75" thickTop="1"/>
  </sheetData>
  <mergeCells count="9">
    <mergeCell ref="H1:H3"/>
    <mergeCell ref="I1:I3"/>
    <mergeCell ref="A1:A3"/>
    <mergeCell ref="B1:B3"/>
    <mergeCell ref="D1:D3"/>
    <mergeCell ref="G1:G3"/>
    <mergeCell ref="C1:C3"/>
    <mergeCell ref="E1:E3"/>
    <mergeCell ref="F1:F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31"/>
  <sheetViews>
    <sheetView zoomScale="85" zoomScaleNormal="85" workbookViewId="0">
      <selection activeCell="P29" sqref="P29"/>
    </sheetView>
  </sheetViews>
  <sheetFormatPr defaultRowHeight="15"/>
  <cols>
    <col min="1" max="2" width="14.85546875" customWidth="1"/>
    <col min="4" max="4" width="12.85546875" customWidth="1"/>
    <col min="5" max="5" width="14.5703125" customWidth="1"/>
    <col min="9" max="9" width="21.42578125" customWidth="1"/>
  </cols>
  <sheetData>
    <row r="1" spans="1:18" ht="63">
      <c r="A1" s="11" t="s">
        <v>0</v>
      </c>
      <c r="B1" s="11" t="s">
        <v>34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41</v>
      </c>
      <c r="H1" s="11" t="s">
        <v>6</v>
      </c>
      <c r="I1" s="11" t="s">
        <v>7</v>
      </c>
      <c r="J1" s="12"/>
    </row>
    <row r="2" spans="1:18" ht="31.5">
      <c r="A2" s="4">
        <v>1</v>
      </c>
      <c r="B2" s="4" t="s">
        <v>40</v>
      </c>
      <c r="C2" s="4">
        <v>15.6</v>
      </c>
      <c r="D2" s="4">
        <v>26.3</v>
      </c>
      <c r="E2" s="4">
        <v>0</v>
      </c>
      <c r="F2" s="4">
        <v>200</v>
      </c>
      <c r="G2" s="4" t="s">
        <v>47</v>
      </c>
      <c r="H2" s="4" t="s">
        <v>43</v>
      </c>
      <c r="I2" s="4" t="s">
        <v>8</v>
      </c>
      <c r="J2" s="5"/>
      <c r="L2" s="9"/>
      <c r="M2" s="9"/>
      <c r="N2" s="9"/>
      <c r="O2" s="9"/>
      <c r="P2" s="9"/>
      <c r="Q2" s="9"/>
      <c r="R2" s="9"/>
    </row>
    <row r="3" spans="1:18" ht="15.75">
      <c r="A3" s="4">
        <v>2</v>
      </c>
      <c r="B3" s="4" t="s">
        <v>52</v>
      </c>
      <c r="C3" s="4">
        <v>25.63</v>
      </c>
      <c r="D3" s="4">
        <v>25.1</v>
      </c>
      <c r="E3" s="4">
        <v>1</v>
      </c>
      <c r="F3" s="4">
        <v>205</v>
      </c>
      <c r="G3" s="4">
        <v>33.32</v>
      </c>
      <c r="H3" s="4" t="s">
        <v>43</v>
      </c>
      <c r="I3" s="4">
        <v>100</v>
      </c>
      <c r="J3" s="5"/>
      <c r="L3" s="9"/>
      <c r="M3" s="9"/>
      <c r="N3" s="9"/>
      <c r="O3" s="9"/>
      <c r="P3" s="9"/>
      <c r="Q3" s="9"/>
      <c r="R3" s="9"/>
    </row>
    <row r="4" spans="1:18" ht="15.75">
      <c r="A4" s="4">
        <v>3</v>
      </c>
      <c r="B4" s="4" t="s">
        <v>52</v>
      </c>
      <c r="C4" s="4">
        <v>39.85</v>
      </c>
      <c r="D4" s="4">
        <v>27.3</v>
      </c>
      <c r="E4" s="4">
        <v>1</v>
      </c>
      <c r="F4" s="4">
        <v>195</v>
      </c>
      <c r="G4" s="4">
        <v>41.32</v>
      </c>
      <c r="H4" s="4" t="s">
        <v>51</v>
      </c>
      <c r="I4" s="4">
        <v>90</v>
      </c>
      <c r="J4" s="5"/>
      <c r="L4" s="9"/>
      <c r="M4" s="9"/>
      <c r="N4" s="9"/>
      <c r="O4" s="9"/>
      <c r="P4" s="14"/>
      <c r="Q4" s="9"/>
      <c r="R4" s="9"/>
    </row>
    <row r="5" spans="1:18" ht="15.75">
      <c r="A5" s="4">
        <v>4</v>
      </c>
      <c r="B5" s="4" t="s">
        <v>52</v>
      </c>
      <c r="C5" s="4">
        <v>41.7</v>
      </c>
      <c r="D5" s="4">
        <v>26.5</v>
      </c>
      <c r="E5" s="4">
        <v>1</v>
      </c>
      <c r="F5" s="4">
        <v>198</v>
      </c>
      <c r="G5" s="4">
        <v>42</v>
      </c>
      <c r="H5" s="4" t="s">
        <v>44</v>
      </c>
      <c r="I5" s="4">
        <v>75</v>
      </c>
      <c r="J5" s="5"/>
      <c r="L5" s="9"/>
      <c r="M5" s="9"/>
      <c r="N5" s="9"/>
      <c r="O5" s="9"/>
      <c r="P5" s="14"/>
      <c r="Q5" s="9"/>
      <c r="R5" s="9"/>
    </row>
    <row r="6" spans="1:18" ht="15.75">
      <c r="A6" s="4">
        <v>5</v>
      </c>
      <c r="B6" s="4" t="s">
        <v>35</v>
      </c>
      <c r="C6" s="4">
        <v>44.1</v>
      </c>
      <c r="D6" s="4">
        <v>28.36</v>
      </c>
      <c r="E6" s="4">
        <v>1</v>
      </c>
      <c r="F6" s="4">
        <v>225</v>
      </c>
      <c r="G6" s="4">
        <v>41.25</v>
      </c>
      <c r="H6" s="4" t="s">
        <v>45</v>
      </c>
      <c r="I6" s="4">
        <v>60</v>
      </c>
      <c r="J6" s="5"/>
    </row>
    <row r="7" spans="1:18" ht="15.75">
      <c r="A7" s="4">
        <v>6</v>
      </c>
      <c r="B7" s="4" t="s">
        <v>37</v>
      </c>
      <c r="C7" s="4">
        <v>42.05</v>
      </c>
      <c r="D7" s="4">
        <v>27.29</v>
      </c>
      <c r="E7" s="4">
        <v>1</v>
      </c>
      <c r="F7" s="4">
        <v>228</v>
      </c>
      <c r="G7" s="4">
        <v>42.3</v>
      </c>
      <c r="H7" s="4" t="s">
        <v>46</v>
      </c>
      <c r="I7" s="4">
        <v>55</v>
      </c>
      <c r="J7" s="5"/>
    </row>
    <row r="8" spans="1:18" ht="15.75">
      <c r="A8" s="4">
        <v>7</v>
      </c>
      <c r="B8" s="4" t="s">
        <v>53</v>
      </c>
      <c r="C8" s="4">
        <v>40.200000000000003</v>
      </c>
      <c r="D8" s="4">
        <v>29.3</v>
      </c>
      <c r="E8" s="4">
        <v>1</v>
      </c>
      <c r="F8" s="4">
        <v>215</v>
      </c>
      <c r="G8" s="4">
        <v>39.200000000000003</v>
      </c>
      <c r="H8" s="4" t="s">
        <v>46</v>
      </c>
      <c r="I8" s="4">
        <v>55</v>
      </c>
      <c r="J8" s="5"/>
    </row>
    <row r="9" spans="1:18" ht="15.75">
      <c r="A9" s="4">
        <v>8</v>
      </c>
      <c r="B9" s="13" t="s">
        <v>39</v>
      </c>
      <c r="C9" s="4">
        <v>43.1</v>
      </c>
      <c r="D9" s="4">
        <v>28.95</v>
      </c>
      <c r="E9" s="4">
        <v>1</v>
      </c>
      <c r="F9" s="4">
        <v>223</v>
      </c>
      <c r="G9" s="4">
        <v>41.3</v>
      </c>
      <c r="H9" s="4" t="s">
        <v>46</v>
      </c>
      <c r="I9" s="4">
        <v>55</v>
      </c>
      <c r="J9" s="5"/>
    </row>
    <row r="10" spans="1:18" ht="15.75">
      <c r="A10" s="4">
        <v>9</v>
      </c>
      <c r="B10" s="4" t="s">
        <v>54</v>
      </c>
      <c r="C10" s="4">
        <v>39.6</v>
      </c>
      <c r="D10" s="4">
        <v>27.1</v>
      </c>
      <c r="E10" s="4">
        <v>0</v>
      </c>
      <c r="F10" s="4">
        <v>220</v>
      </c>
      <c r="G10" s="4"/>
      <c r="H10" s="4" t="s">
        <v>45</v>
      </c>
      <c r="I10" s="4">
        <v>60</v>
      </c>
      <c r="J10" s="5"/>
    </row>
    <row r="11" spans="1:18" ht="15.75">
      <c r="A11" s="5">
        <v>10</v>
      </c>
      <c r="B11" s="5" t="s">
        <v>55</v>
      </c>
      <c r="C11" s="5">
        <v>33.799999999999997</v>
      </c>
      <c r="D11" s="5">
        <v>28</v>
      </c>
      <c r="E11" s="5">
        <v>0</v>
      </c>
      <c r="F11" s="5">
        <v>195</v>
      </c>
      <c r="G11" s="5" t="s">
        <v>48</v>
      </c>
      <c r="H11" s="5" t="s">
        <v>49</v>
      </c>
      <c r="I11" s="5" t="s">
        <v>8</v>
      </c>
      <c r="J11" s="5"/>
    </row>
    <row r="12" spans="1:18" ht="15.75">
      <c r="A12" s="5"/>
      <c r="B12" s="4"/>
      <c r="C12" s="5"/>
      <c r="D12" s="5"/>
      <c r="E12" s="5"/>
      <c r="F12" s="5"/>
      <c r="G12" s="5"/>
      <c r="H12" s="5"/>
      <c r="I12" s="5" t="s">
        <v>56</v>
      </c>
      <c r="J12" s="5"/>
    </row>
    <row r="13" spans="1:18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8">
      <c r="I14" s="6"/>
    </row>
    <row r="15" spans="1:18" ht="15.75">
      <c r="N15" s="4">
        <v>25.63</v>
      </c>
    </row>
    <row r="16" spans="1:18" ht="15.75">
      <c r="N16" s="4">
        <v>39.85</v>
      </c>
    </row>
    <row r="17" spans="1:14" ht="15.75">
      <c r="N17" s="4">
        <v>41.7</v>
      </c>
    </row>
    <row r="18" spans="1:14" ht="16.5" thickBot="1">
      <c r="N18" s="4">
        <v>44.1</v>
      </c>
    </row>
    <row r="19" spans="1:14" ht="17.25" thickTop="1" thickBot="1">
      <c r="A19" s="32">
        <v>1</v>
      </c>
      <c r="B19" s="33" t="s">
        <v>52</v>
      </c>
      <c r="C19" s="32"/>
      <c r="D19" s="32" t="s">
        <v>80</v>
      </c>
      <c r="E19" s="32">
        <v>88</v>
      </c>
      <c r="N19" s="4">
        <v>42.05</v>
      </c>
    </row>
    <row r="20" spans="1:14" ht="17.25" thickTop="1" thickBot="1">
      <c r="A20" s="32">
        <v>2</v>
      </c>
      <c r="B20" s="33" t="s">
        <v>76</v>
      </c>
      <c r="C20" s="32"/>
      <c r="D20" s="32" t="s">
        <v>81</v>
      </c>
      <c r="E20" s="32">
        <v>75</v>
      </c>
      <c r="N20" s="4">
        <v>40.200000000000003</v>
      </c>
    </row>
    <row r="21" spans="1:14" ht="17.25" thickTop="1" thickBot="1">
      <c r="A21" s="32">
        <v>3</v>
      </c>
      <c r="B21" s="33" t="s">
        <v>35</v>
      </c>
      <c r="C21" s="32"/>
      <c r="D21" s="32" t="s">
        <v>82</v>
      </c>
      <c r="E21" s="32">
        <v>60</v>
      </c>
      <c r="N21" s="4">
        <v>43.1</v>
      </c>
    </row>
    <row r="22" spans="1:14" ht="17.25" thickTop="1" thickBot="1">
      <c r="A22" s="32">
        <v>4</v>
      </c>
      <c r="B22" s="33" t="s">
        <v>36</v>
      </c>
      <c r="C22" s="32"/>
      <c r="D22" s="32" t="s">
        <v>81</v>
      </c>
      <c r="E22" s="32">
        <v>60</v>
      </c>
      <c r="N22" s="4">
        <v>39.6</v>
      </c>
    </row>
    <row r="23" spans="1:14" ht="17.25" thickTop="1" thickBot="1">
      <c r="A23" s="32">
        <v>5</v>
      </c>
      <c r="B23" s="33" t="s">
        <v>37</v>
      </c>
      <c r="C23" s="32"/>
      <c r="D23" s="32" t="s">
        <v>82</v>
      </c>
      <c r="E23" s="32">
        <v>55</v>
      </c>
    </row>
    <row r="24" spans="1:14" ht="17.25" thickTop="1" thickBot="1">
      <c r="A24" s="32">
        <v>6</v>
      </c>
      <c r="B24" s="33" t="s">
        <v>77</v>
      </c>
      <c r="C24" s="32"/>
      <c r="D24" s="32" t="s">
        <v>81</v>
      </c>
      <c r="E24" s="32">
        <v>55</v>
      </c>
      <c r="N24">
        <f>SUM(N15:N23)/8</f>
        <v>39.528750000000002</v>
      </c>
    </row>
    <row r="25" spans="1:14" ht="17.25" thickTop="1" thickBot="1">
      <c r="A25" s="32">
        <v>7</v>
      </c>
      <c r="B25" s="34" t="s">
        <v>38</v>
      </c>
      <c r="C25" s="32"/>
      <c r="D25" s="32" t="s">
        <v>81</v>
      </c>
      <c r="E25" s="32">
        <v>55</v>
      </c>
    </row>
    <row r="26" spans="1:14" ht="17.25" thickTop="1" thickBot="1">
      <c r="A26" s="32">
        <v>8</v>
      </c>
      <c r="B26" s="33" t="s">
        <v>53</v>
      </c>
      <c r="C26" s="32"/>
      <c r="D26" s="32" t="s">
        <v>82</v>
      </c>
      <c r="E26" s="32">
        <v>55</v>
      </c>
    </row>
    <row r="27" spans="1:14" ht="17.25" thickTop="1" thickBot="1">
      <c r="A27" s="32">
        <v>9</v>
      </c>
      <c r="B27" s="33" t="s">
        <v>54</v>
      </c>
      <c r="C27" s="32"/>
      <c r="D27" s="32" t="s">
        <v>82</v>
      </c>
      <c r="E27" s="32">
        <v>60</v>
      </c>
    </row>
    <row r="28" spans="1:14" ht="17.25" thickTop="1" thickBot="1">
      <c r="A28" s="32" t="s">
        <v>85</v>
      </c>
      <c r="B28" s="32"/>
      <c r="C28" s="32"/>
      <c r="D28" s="32"/>
      <c r="E28" s="32">
        <f>SUM(E19:E27)/9</f>
        <v>62.555555555555557</v>
      </c>
    </row>
    <row r="29" spans="1:14" ht="17.25" thickTop="1" thickBot="1">
      <c r="A29" s="32"/>
      <c r="B29" s="32"/>
      <c r="C29" s="32"/>
      <c r="D29" s="32"/>
      <c r="E29" s="32"/>
    </row>
    <row r="30" spans="1:14" ht="17.25" thickTop="1" thickBot="1">
      <c r="A30" s="32"/>
      <c r="B30" s="32"/>
      <c r="C30" s="32"/>
      <c r="D30" s="32"/>
      <c r="E30" s="32"/>
    </row>
    <row r="31" spans="1:14" ht="15.75" thickTop="1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S39"/>
  <sheetViews>
    <sheetView topLeftCell="A16" zoomScale="70" zoomScaleNormal="70" workbookViewId="0">
      <selection activeCell="M39" sqref="M39"/>
    </sheetView>
  </sheetViews>
  <sheetFormatPr defaultRowHeight="15.75"/>
  <cols>
    <col min="1" max="1" width="10.5703125" style="1" customWidth="1"/>
    <col min="2" max="2" width="29" style="1" customWidth="1"/>
    <col min="3" max="3" width="16.7109375" style="1" customWidth="1"/>
    <col min="4" max="4" width="13.42578125" style="1" customWidth="1"/>
    <col min="5" max="5" width="16.85546875" style="1" customWidth="1"/>
    <col min="6" max="6" width="9.140625" style="1"/>
    <col min="7" max="7" width="13.5703125" style="1" customWidth="1"/>
    <col min="8" max="8" width="11.85546875" style="1" customWidth="1"/>
    <col min="9" max="16384" width="9.140625" style="1"/>
  </cols>
  <sheetData>
    <row r="1" spans="1:19" ht="47.25">
      <c r="A1" s="22" t="s">
        <v>0</v>
      </c>
      <c r="B1" s="11" t="s">
        <v>34</v>
      </c>
      <c r="C1" s="22" t="s">
        <v>1</v>
      </c>
      <c r="D1" s="22" t="s">
        <v>2</v>
      </c>
      <c r="E1" s="22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3"/>
    </row>
    <row r="2" spans="1:19">
      <c r="A2" s="4">
        <v>1</v>
      </c>
      <c r="B2" s="4" t="s">
        <v>57</v>
      </c>
      <c r="C2" s="4">
        <v>7.25</v>
      </c>
      <c r="D2" s="4">
        <v>20.7</v>
      </c>
      <c r="E2" s="4">
        <v>0</v>
      </c>
      <c r="F2" s="4">
        <v>190</v>
      </c>
      <c r="G2" s="4" t="s">
        <v>8</v>
      </c>
      <c r="H2" s="4" t="s">
        <v>9</v>
      </c>
      <c r="I2" s="4" t="s">
        <v>12</v>
      </c>
      <c r="J2" s="3"/>
    </row>
    <row r="3" spans="1:19">
      <c r="A3" s="4">
        <v>2</v>
      </c>
      <c r="B3" s="4" t="s">
        <v>57</v>
      </c>
      <c r="C3" s="4">
        <v>11.95</v>
      </c>
      <c r="D3" s="4">
        <v>21.9</v>
      </c>
      <c r="E3" s="4">
        <v>1</v>
      </c>
      <c r="F3" s="4">
        <v>210</v>
      </c>
      <c r="G3" s="4">
        <v>21.25</v>
      </c>
      <c r="H3" s="4" t="s">
        <v>66</v>
      </c>
      <c r="I3" s="4">
        <v>100</v>
      </c>
      <c r="J3" s="3"/>
    </row>
    <row r="4" spans="1:19">
      <c r="A4" s="4">
        <v>3</v>
      </c>
      <c r="B4" s="4" t="s">
        <v>58</v>
      </c>
      <c r="C4" s="4">
        <v>36.1</v>
      </c>
      <c r="D4" s="4">
        <v>23.5</v>
      </c>
      <c r="E4" s="4">
        <v>1</v>
      </c>
      <c r="F4" s="4">
        <v>192</v>
      </c>
      <c r="G4" s="4">
        <v>35.6</v>
      </c>
      <c r="H4" s="4" t="s">
        <v>10</v>
      </c>
      <c r="I4" s="4">
        <v>95</v>
      </c>
      <c r="J4" s="3"/>
    </row>
    <row r="5" spans="1:19">
      <c r="A5" s="4">
        <v>4</v>
      </c>
      <c r="B5" s="4" t="s">
        <v>59</v>
      </c>
      <c r="C5" s="4">
        <v>35.25</v>
      </c>
      <c r="D5" s="4">
        <v>21.2</v>
      </c>
      <c r="E5" s="4">
        <v>1</v>
      </c>
      <c r="F5" s="4">
        <v>220</v>
      </c>
      <c r="G5" s="4">
        <v>35.200000000000003</v>
      </c>
      <c r="H5" s="4" t="s">
        <v>11</v>
      </c>
      <c r="I5" s="4">
        <v>85</v>
      </c>
      <c r="J5" s="3"/>
    </row>
    <row r="6" spans="1:19">
      <c r="A6" s="4">
        <v>5</v>
      </c>
      <c r="B6" s="4" t="s">
        <v>60</v>
      </c>
      <c r="C6" s="4">
        <v>34</v>
      </c>
      <c r="D6" s="4">
        <v>20.8</v>
      </c>
      <c r="E6" s="4">
        <v>1</v>
      </c>
      <c r="F6" s="4">
        <v>221</v>
      </c>
      <c r="G6" s="4">
        <v>34.25</v>
      </c>
      <c r="H6" s="4" t="s">
        <v>69</v>
      </c>
      <c r="I6" s="4">
        <v>80</v>
      </c>
      <c r="J6" s="3"/>
    </row>
    <row r="7" spans="1:19">
      <c r="A7" s="4">
        <v>6</v>
      </c>
      <c r="B7" s="4" t="s">
        <v>65</v>
      </c>
      <c r="C7" s="4">
        <v>35.6</v>
      </c>
      <c r="D7" s="4">
        <v>22.6</v>
      </c>
      <c r="E7" s="4">
        <v>1</v>
      </c>
      <c r="F7" s="4">
        <v>210</v>
      </c>
      <c r="G7" s="4">
        <v>34.4</v>
      </c>
      <c r="H7" s="4" t="s">
        <v>67</v>
      </c>
      <c r="I7" s="4">
        <v>80</v>
      </c>
      <c r="J7" s="3"/>
    </row>
    <row r="8" spans="1:19">
      <c r="A8" s="4">
        <v>7</v>
      </c>
      <c r="B8" s="4" t="s">
        <v>64</v>
      </c>
      <c r="C8" s="4">
        <v>36</v>
      </c>
      <c r="D8" s="4">
        <v>19.600000000000001</v>
      </c>
      <c r="E8" s="4">
        <v>1</v>
      </c>
      <c r="F8" s="4">
        <v>214</v>
      </c>
      <c r="G8" s="4">
        <v>35.700000000000003</v>
      </c>
      <c r="H8" s="4" t="s">
        <v>67</v>
      </c>
      <c r="I8" s="4">
        <v>75</v>
      </c>
      <c r="J8" s="3"/>
    </row>
    <row r="9" spans="1:19">
      <c r="A9" s="4">
        <v>8</v>
      </c>
      <c r="B9" s="13" t="s">
        <v>63</v>
      </c>
      <c r="C9" s="4">
        <v>37</v>
      </c>
      <c r="D9" s="4">
        <v>19.899999999999999</v>
      </c>
      <c r="E9" s="4">
        <v>1</v>
      </c>
      <c r="F9" s="4">
        <v>225</v>
      </c>
      <c r="G9" s="4">
        <v>36.4</v>
      </c>
      <c r="H9" s="4" t="s">
        <v>69</v>
      </c>
      <c r="I9" s="4">
        <v>80</v>
      </c>
      <c r="J9" s="3"/>
    </row>
    <row r="10" spans="1:19">
      <c r="A10" s="4">
        <v>9</v>
      </c>
      <c r="B10" s="4" t="s">
        <v>62</v>
      </c>
      <c r="C10" s="4">
        <v>30</v>
      </c>
      <c r="D10" s="4">
        <v>22.3</v>
      </c>
      <c r="E10" s="4">
        <v>1</v>
      </c>
      <c r="F10" s="4">
        <v>205</v>
      </c>
      <c r="G10" s="4">
        <v>32.9</v>
      </c>
      <c r="H10" s="4" t="s">
        <v>68</v>
      </c>
      <c r="I10" s="4">
        <v>80</v>
      </c>
      <c r="J10" s="3"/>
    </row>
    <row r="11" spans="1:19">
      <c r="A11" s="4">
        <v>10</v>
      </c>
      <c r="B11" s="5" t="s">
        <v>61</v>
      </c>
      <c r="C11" s="4">
        <v>34.1</v>
      </c>
      <c r="D11" s="4">
        <v>21.1</v>
      </c>
      <c r="E11" s="4">
        <v>0</v>
      </c>
      <c r="F11" s="4">
        <v>200</v>
      </c>
      <c r="G11" s="4" t="s">
        <v>8</v>
      </c>
      <c r="H11" s="4" t="s">
        <v>8</v>
      </c>
      <c r="I11" s="4" t="s">
        <v>8</v>
      </c>
      <c r="J11" s="3"/>
    </row>
    <row r="12" spans="1:19">
      <c r="A12" s="20"/>
      <c r="B12" s="14"/>
      <c r="C12" s="20"/>
      <c r="D12" s="3"/>
      <c r="E12" s="3"/>
      <c r="F12" s="3"/>
      <c r="G12" s="3"/>
      <c r="H12" s="3"/>
      <c r="I12" s="3"/>
      <c r="J12" s="3"/>
    </row>
    <row r="13" spans="1:19">
      <c r="A13" s="21"/>
      <c r="B13" s="21"/>
      <c r="C13" s="21"/>
    </row>
    <row r="14" spans="1:19">
      <c r="O14"/>
      <c r="P14"/>
      <c r="Q14"/>
      <c r="R14"/>
      <c r="S14"/>
    </row>
    <row r="15" spans="1:19">
      <c r="O15"/>
      <c r="P15"/>
      <c r="Q15"/>
      <c r="R15"/>
      <c r="S15"/>
    </row>
    <row r="16" spans="1:19">
      <c r="O16"/>
      <c r="P16"/>
      <c r="Q16"/>
      <c r="R16"/>
      <c r="S16"/>
    </row>
    <row r="17" spans="1:19">
      <c r="O17"/>
      <c r="P17"/>
      <c r="Q17"/>
      <c r="R17"/>
      <c r="S17"/>
    </row>
    <row r="18" spans="1:19" ht="16.5" thickBot="1">
      <c r="O18"/>
      <c r="P18"/>
      <c r="Q18"/>
      <c r="R18"/>
      <c r="S18"/>
    </row>
    <row r="19" spans="1:19" ht="17.25" thickTop="1" thickBot="1">
      <c r="A19" s="26">
        <v>1</v>
      </c>
      <c r="B19" s="27" t="s">
        <v>57</v>
      </c>
      <c r="C19" s="26"/>
      <c r="D19" s="26">
        <v>100</v>
      </c>
      <c r="E19" s="26"/>
      <c r="O19"/>
      <c r="P19"/>
      <c r="Q19"/>
      <c r="R19"/>
      <c r="S19"/>
    </row>
    <row r="20" spans="1:19" ht="17.25" thickTop="1" thickBot="1">
      <c r="A20" s="26">
        <v>2</v>
      </c>
      <c r="B20" s="27" t="s">
        <v>58</v>
      </c>
      <c r="C20" s="26"/>
      <c r="D20" s="26">
        <v>95</v>
      </c>
      <c r="E20" s="26"/>
      <c r="O20"/>
      <c r="P20"/>
      <c r="Q20"/>
      <c r="R20"/>
      <c r="S20"/>
    </row>
    <row r="21" spans="1:19" ht="17.25" thickTop="1" thickBot="1">
      <c r="A21" s="26">
        <v>3</v>
      </c>
      <c r="B21" s="27" t="s">
        <v>59</v>
      </c>
      <c r="C21" s="26"/>
      <c r="D21" s="26">
        <v>85</v>
      </c>
      <c r="E21" s="26"/>
      <c r="O21"/>
      <c r="P21"/>
      <c r="Q21"/>
      <c r="R21"/>
      <c r="S21"/>
    </row>
    <row r="22" spans="1:19" ht="17.25" thickTop="1" thickBot="1">
      <c r="A22" s="26">
        <v>4</v>
      </c>
      <c r="B22" s="27" t="s">
        <v>83</v>
      </c>
      <c r="C22" s="26"/>
      <c r="D22" s="26">
        <v>85</v>
      </c>
      <c r="E22" s="26"/>
      <c r="O22"/>
      <c r="P22"/>
      <c r="Q22"/>
      <c r="R22"/>
      <c r="S22"/>
    </row>
    <row r="23" spans="1:19" ht="17.25" thickTop="1" thickBot="1">
      <c r="A23" s="26">
        <v>5</v>
      </c>
      <c r="B23" s="27" t="s">
        <v>60</v>
      </c>
      <c r="C23" s="26"/>
      <c r="D23" s="26">
        <v>80</v>
      </c>
      <c r="E23" s="26"/>
      <c r="O23"/>
      <c r="P23"/>
      <c r="Q23"/>
      <c r="R23"/>
      <c r="S23"/>
    </row>
    <row r="24" spans="1:19" ht="17.25" thickTop="1" thickBot="1">
      <c r="A24" s="26">
        <v>6</v>
      </c>
      <c r="B24" s="27" t="s">
        <v>65</v>
      </c>
      <c r="C24" s="26"/>
      <c r="D24" s="26">
        <v>80</v>
      </c>
      <c r="E24" s="26"/>
      <c r="O24"/>
      <c r="P24"/>
      <c r="Q24"/>
      <c r="R24"/>
      <c r="S24"/>
    </row>
    <row r="25" spans="1:19" ht="17.25" thickTop="1" thickBot="1">
      <c r="A25" s="26">
        <v>7</v>
      </c>
      <c r="B25" s="27" t="s">
        <v>84</v>
      </c>
      <c r="C25" s="26"/>
      <c r="D25" s="26">
        <v>80</v>
      </c>
      <c r="E25" s="26"/>
      <c r="M25" s="4">
        <v>11.95</v>
      </c>
      <c r="O25"/>
      <c r="P25"/>
      <c r="Q25"/>
      <c r="R25"/>
      <c r="S25"/>
    </row>
    <row r="26" spans="1:19" ht="17.25" thickTop="1" thickBot="1">
      <c r="A26" s="26">
        <v>8</v>
      </c>
      <c r="B26" s="28" t="s">
        <v>64</v>
      </c>
      <c r="C26" s="26"/>
      <c r="D26" s="26">
        <v>75</v>
      </c>
      <c r="E26" s="26"/>
      <c r="M26" s="4">
        <v>36.1</v>
      </c>
      <c r="O26"/>
      <c r="P26"/>
      <c r="Q26"/>
      <c r="R26"/>
      <c r="S26"/>
    </row>
    <row r="27" spans="1:19" ht="17.25" thickTop="1" thickBot="1">
      <c r="A27" s="26">
        <v>9</v>
      </c>
      <c r="B27" s="27" t="s">
        <v>63</v>
      </c>
      <c r="C27" s="26"/>
      <c r="D27" s="26">
        <v>80</v>
      </c>
      <c r="E27" s="26"/>
      <c r="M27" s="4">
        <v>35.25</v>
      </c>
      <c r="O27"/>
      <c r="P27"/>
      <c r="Q27"/>
      <c r="R27"/>
      <c r="S27"/>
    </row>
    <row r="28" spans="1:19" ht="17.25" thickTop="1" thickBot="1">
      <c r="A28" s="26">
        <v>10</v>
      </c>
      <c r="B28" s="29" t="s">
        <v>62</v>
      </c>
      <c r="C28" s="26"/>
      <c r="D28" s="26">
        <v>80</v>
      </c>
      <c r="E28" s="26"/>
      <c r="M28" s="4">
        <v>34</v>
      </c>
      <c r="O28"/>
      <c r="P28"/>
      <c r="Q28"/>
      <c r="R28"/>
      <c r="S28"/>
    </row>
    <row r="29" spans="1:19" ht="17.25" thickTop="1" thickBot="1">
      <c r="A29" s="26"/>
      <c r="B29" s="26"/>
      <c r="C29" s="26"/>
      <c r="D29" s="26"/>
      <c r="E29" s="26"/>
      <c r="M29" s="4">
        <v>35.6</v>
      </c>
    </row>
    <row r="30" spans="1:19" ht="17.25" thickTop="1" thickBot="1">
      <c r="A30" s="26" t="s">
        <v>85</v>
      </c>
      <c r="B30" s="26"/>
      <c r="C30" s="26"/>
      <c r="D30" s="26">
        <f>SUM(D19:D29)/10</f>
        <v>84</v>
      </c>
      <c r="E30" s="26"/>
      <c r="M30" s="4">
        <v>36</v>
      </c>
    </row>
    <row r="31" spans="1:19" ht="17.25" thickTop="1" thickBot="1">
      <c r="A31" s="26"/>
      <c r="B31" s="26"/>
      <c r="C31" s="26"/>
      <c r="D31" s="26"/>
      <c r="E31" s="26"/>
      <c r="M31" s="4">
        <v>37</v>
      </c>
    </row>
    <row r="32" spans="1:19" ht="16.5" thickTop="1">
      <c r="M32" s="4">
        <v>30</v>
      </c>
    </row>
    <row r="34" spans="13:19">
      <c r="M34" s="1">
        <f>SUM(M25:M33)/8</f>
        <v>31.987500000000001</v>
      </c>
    </row>
    <row r="35" spans="13:19">
      <c r="S35" s="1">
        <v>41.29</v>
      </c>
    </row>
    <row r="36" spans="13:19">
      <c r="S36" s="1">
        <v>39.53</v>
      </c>
    </row>
    <row r="37" spans="13:19">
      <c r="S37" s="1">
        <v>31.99</v>
      </c>
    </row>
    <row r="39" spans="13:19">
      <c r="S39" s="1">
        <f>SUM(S35:S38)/3</f>
        <v>37.603333333333332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2026-02-11T10:23:48Z</dcterms:modified>
</cp:coreProperties>
</file>